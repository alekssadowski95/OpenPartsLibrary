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mponents" sheetId="1" state="visible" r:id="rId3"/>
    <sheet name="suppliers" sheetId="2" state="visible" r:id="rId4"/>
    <sheet name="numbering_system" sheetId="3" state="visible" r:id="rId5"/>
    <sheet name="values" sheetId="4" state="visible" r:id="rId6"/>
    <sheet name="invoice" sheetId="5" state="visible" r:id="rId7"/>
    <sheet name="boms" sheetId="6" state="visible" r:id="rId8"/>
    <sheet name="bom_00001" sheetId="7" state="visible" r:id="rId9"/>
  </sheets>
  <definedNames>
    <definedName function="false" hidden="true" localSheetId="6" name="_xlnm._FilterDatabase" vbProcedure="false">bom_00001!$A$1:$I$51</definedName>
    <definedName function="false" hidden="true" localSheetId="5" name="_xlnm._FilterDatabase" vbProcedure="false">boms!$A$1:$O$501</definedName>
    <definedName function="false" hidden="true" localSheetId="0" name="_xlnm._FilterDatabase" vbProcedure="false">components!$A$1:$O$461</definedName>
    <definedName function="false" hidden="true" localSheetId="2" name="_xlnm._FilterDatabase" vbProcedure="false">numbering_system!$A$1:$B$8</definedName>
    <definedName function="false" hidden="true" localSheetId="1" name="_xlnm._FilterDatabase" vbProcedure="false">suppliers!$A$1:$H$41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<sst xmlns="http://schemas.openxmlformats.org/spreadsheetml/2006/main" count="4319" uniqueCount="1999">
  <si>
    <t xml:space="preserve">uuid</t>
  </si>
  <si>
    <t xml:space="preserve">category</t>
  </si>
  <si>
    <t xml:space="preserve">number</t>
  </si>
  <si>
    <t xml:space="preserve">name</t>
  </si>
  <si>
    <t xml:space="preserve">description</t>
  </si>
  <si>
    <t xml:space="preserve">revision</t>
  </si>
  <si>
    <t xml:space="preserve">lifecycle_state</t>
  </si>
  <si>
    <t xml:space="preserve">owner</t>
  </si>
  <si>
    <t xml:space="preserve">material</t>
  </si>
  <si>
    <t xml:space="preserve">cad_file_name</t>
  </si>
  <si>
    <t xml:space="preserve">cad_file_link</t>
  </si>
  <si>
    <t xml:space="preserve">supplier_uuid</t>
  </si>
  <si>
    <t xml:space="preserve">supplier_name</t>
  </si>
  <si>
    <t xml:space="preserve">unit_price</t>
  </si>
  <si>
    <t xml:space="preserve">currency</t>
  </si>
  <si>
    <t xml:space="preserve">393e864e-a7e8-4ed3-96cc-e3af45ee3e85</t>
  </si>
  <si>
    <t xml:space="preserve">STD</t>
  </si>
  <si>
    <t xml:space="preserve">000001</t>
  </si>
  <si>
    <t xml:space="preserve">Bolt ISO 4762 M3x5</t>
  </si>
  <si>
    <t xml:space="preserve">A hexagon socket head cap bolt for fastening metal parts</t>
  </si>
  <si>
    <t xml:space="preserve">In Work</t>
  </si>
  <si>
    <t xml:space="preserve">Max Mustermann</t>
  </si>
  <si>
    <t xml:space="preserve">Stainless Steel</t>
  </si>
  <si>
    <t xml:space="preserve">ISO4762_M3x5.FCStd</t>
  </si>
  <si>
    <t xml:space="preserve">89e1cda9-c5eb-4705-86af-b27eace05a4d</t>
  </si>
  <si>
    <t xml:space="preserve">EUR</t>
  </si>
  <si>
    <t xml:space="preserve">2f49c9f4-1a10-4b66-b86c-e58b0930d040</t>
  </si>
  <si>
    <t xml:space="preserve">000002</t>
  </si>
  <si>
    <t xml:space="preserve">Bolt ISO 4762 M3x6</t>
  </si>
  <si>
    <t xml:space="preserve">ISO4762_M3x6.FCStd</t>
  </si>
  <si>
    <t xml:space="preserve">5dca19b4-36df-45ab-9675-d1e4175f3808</t>
  </si>
  <si>
    <t xml:space="preserve">000003</t>
  </si>
  <si>
    <t xml:space="preserve">Bolt ISO 4762 M3x8</t>
  </si>
  <si>
    <t xml:space="preserve">ISO4762_M3x8.FCStd</t>
  </si>
  <si>
    <t xml:space="preserve">a8b63aee-3999-42c3-8c9f-0e92af577356</t>
  </si>
  <si>
    <t xml:space="preserve">000004</t>
  </si>
  <si>
    <t xml:space="preserve">Bolt ISO 4762 M3x10</t>
  </si>
  <si>
    <t xml:space="preserve">ISO4762_M3x10.FCStd</t>
  </si>
  <si>
    <t xml:space="preserve">435e41de-ebf3-4ce8-9a77-9ac3a9cb2bf3</t>
  </si>
  <si>
    <t xml:space="preserve">000005</t>
  </si>
  <si>
    <t xml:space="preserve">Bolt ISO 4762 M3x12</t>
  </si>
  <si>
    <t xml:space="preserve">ISO4762_M3x12.FCStd</t>
  </si>
  <si>
    <t xml:space="preserve">188e331a-acd1-45d2-9701-83cd6e858f86</t>
  </si>
  <si>
    <t xml:space="preserve">000006</t>
  </si>
  <si>
    <t xml:space="preserve">Bolt ISO 4762 M3x14</t>
  </si>
  <si>
    <t xml:space="preserve">ISO4762_M3x14.FCStd</t>
  </si>
  <si>
    <t xml:space="preserve">848ed85c-ffda-4458-a6cf-5ff1eb394e35</t>
  </si>
  <si>
    <t xml:space="preserve">000007</t>
  </si>
  <si>
    <t xml:space="preserve">Bolt ISO 4762 M3x16</t>
  </si>
  <si>
    <t xml:space="preserve">ISO4762_M3x16.FCStd</t>
  </si>
  <si>
    <t xml:space="preserve">6afc24c5-5060-45a2-98a6-aac580ea6dd8</t>
  </si>
  <si>
    <t xml:space="preserve">000008</t>
  </si>
  <si>
    <t xml:space="preserve">Bolt ISO 4762 M3x20</t>
  </si>
  <si>
    <t xml:space="preserve">ISO4762_M3x20.FCStd</t>
  </si>
  <si>
    <t xml:space="preserve">5fc9beb5-1216-4e89-abc1-4fbd9fc3c844</t>
  </si>
  <si>
    <t xml:space="preserve">000009</t>
  </si>
  <si>
    <t xml:space="preserve">Bolt ISO 4762 M3x25</t>
  </si>
  <si>
    <t xml:space="preserve">ISO4762_M3x25.FCStd</t>
  </si>
  <si>
    <t xml:space="preserve">6da2491d-e10a-41f8-8803-eb7486429715</t>
  </si>
  <si>
    <t xml:space="preserve">000010</t>
  </si>
  <si>
    <t xml:space="preserve">Bolt ISO 4762 M3x30</t>
  </si>
  <si>
    <t xml:space="preserve">ISO4762_M3x30.FCStd</t>
  </si>
  <si>
    <t xml:space="preserve">619dab0d-cb6a-42f0-ad56-265287a4e9d3</t>
  </si>
  <si>
    <t xml:space="preserve">000011</t>
  </si>
  <si>
    <t xml:space="preserve">Bolt ISO 4762 M4x6</t>
  </si>
  <si>
    <t xml:space="preserve">ISO4762_M4x6.FCStd</t>
  </si>
  <si>
    <t xml:space="preserve">b49a451f-edd6-4f82-98b7-4b8eb61ecb6e</t>
  </si>
  <si>
    <t xml:space="preserve">000012</t>
  </si>
  <si>
    <t xml:space="preserve">Bolt ISO 4762 M4x8</t>
  </si>
  <si>
    <t xml:space="preserve">ISO4762_M4x8.FCStd</t>
  </si>
  <si>
    <t xml:space="preserve">7e1b834a-6df4-4aa3-a89f-fda701179e6b</t>
  </si>
  <si>
    <t xml:space="preserve">000013</t>
  </si>
  <si>
    <t xml:space="preserve">Bolt ISO 4762 M4x10</t>
  </si>
  <si>
    <t xml:space="preserve">ISO4762_M4x10.FCStd</t>
  </si>
  <si>
    <t xml:space="preserve">ff8b2b28-8a0c-48e6-be9f-4a3a75373301</t>
  </si>
  <si>
    <t xml:space="preserve">000014</t>
  </si>
  <si>
    <t xml:space="preserve">Bolt ISO 4762 M4x12</t>
  </si>
  <si>
    <t xml:space="preserve">ISO4762_M4x12.FCStd</t>
  </si>
  <si>
    <t xml:space="preserve">e98739ad-6dae-4f62-a0d9-583ed35dfd8e</t>
  </si>
  <si>
    <t xml:space="preserve">000015</t>
  </si>
  <si>
    <t xml:space="preserve">Bolt ISO 4762 M4x14</t>
  </si>
  <si>
    <t xml:space="preserve">ISO4762_M4x14.FCStd</t>
  </si>
  <si>
    <t xml:space="preserve">d64d8799-03b4-4779-b7ee-068ee6f4673e</t>
  </si>
  <si>
    <t xml:space="preserve">000016</t>
  </si>
  <si>
    <t xml:space="preserve">Bolt ISO 4762 M4x16</t>
  </si>
  <si>
    <t xml:space="preserve">ISO4762_M4x16.FCStd</t>
  </si>
  <si>
    <t xml:space="preserve">19ebcbba-b538-4dac-92a3-01426280fc6e</t>
  </si>
  <si>
    <t xml:space="preserve">000017</t>
  </si>
  <si>
    <t xml:space="preserve">Bolt ISO 4762 M4x20</t>
  </si>
  <si>
    <t xml:space="preserve">ISO4762_M4x20.FCStd</t>
  </si>
  <si>
    <t xml:space="preserve">0eb2dbca-b4d4-4692-ac46-abe941703b22</t>
  </si>
  <si>
    <t xml:space="preserve">000018</t>
  </si>
  <si>
    <t xml:space="preserve">Bolt ISO 4762 M4x25</t>
  </si>
  <si>
    <t xml:space="preserve">ISO4762_M4x25.FCStd</t>
  </si>
  <si>
    <t xml:space="preserve">97f9b928-917c-4e4c-95b6-c0b76006b584</t>
  </si>
  <si>
    <t xml:space="preserve">000019</t>
  </si>
  <si>
    <t xml:space="preserve">Bolt ISO 4762 M4x30</t>
  </si>
  <si>
    <t xml:space="preserve">ISO4762_M4x30.FCStd</t>
  </si>
  <si>
    <t xml:space="preserve">172d218f-5a5e-41d9-ac3c-05b0f05d4965</t>
  </si>
  <si>
    <t xml:space="preserve">000020</t>
  </si>
  <si>
    <t xml:space="preserve">Bolt ISO 4762 M4x35</t>
  </si>
  <si>
    <t xml:space="preserve">ISO4762_M4x35.FCStd</t>
  </si>
  <si>
    <t xml:space="preserve">56461c54-a8a0-43e6-96e3-ab53cdf5e8ba</t>
  </si>
  <si>
    <t xml:space="preserve">000021</t>
  </si>
  <si>
    <t xml:space="preserve">Bolt ISO 4762 M4x40</t>
  </si>
  <si>
    <t xml:space="preserve">ISO4762_M4x40.FCStd</t>
  </si>
  <si>
    <t xml:space="preserve">62e5d2d4-b7db-499a-8e63-e5a1151d352f</t>
  </si>
  <si>
    <t xml:space="preserve">000022</t>
  </si>
  <si>
    <t xml:space="preserve">Bolt ISO 4762 M5x8</t>
  </si>
  <si>
    <t xml:space="preserve">ISO4762_M5x8.FCStd</t>
  </si>
  <si>
    <t xml:space="preserve">6d3547a5-78ee-4cf5-af83-d80a2368def3</t>
  </si>
  <si>
    <t xml:space="preserve">000023</t>
  </si>
  <si>
    <t xml:space="preserve">Bolt ISO 4762 M5x10</t>
  </si>
  <si>
    <t xml:space="preserve">ISO4762_M5x10.FCStd</t>
  </si>
  <si>
    <t xml:space="preserve">c590437c-f111-45ef-bb8c-08e30a3d96d7</t>
  </si>
  <si>
    <t xml:space="preserve">000024</t>
  </si>
  <si>
    <t xml:space="preserve">Bolt ISO 4762 M5x12</t>
  </si>
  <si>
    <t xml:space="preserve">ISO4762_M5x12.FCStd</t>
  </si>
  <si>
    <t xml:space="preserve">c6f7077c-524f-43b4-89d6-a83f3c9bcc7e</t>
  </si>
  <si>
    <t xml:space="preserve">000025</t>
  </si>
  <si>
    <t xml:space="preserve">Bolt ISO 4762 M5x14</t>
  </si>
  <si>
    <t xml:space="preserve">ISO4762_M5x14.FCStd</t>
  </si>
  <si>
    <t xml:space="preserve">54a54877-2194-4d45-8a16-5c59151fe7f7</t>
  </si>
  <si>
    <t xml:space="preserve">000026</t>
  </si>
  <si>
    <t xml:space="preserve">Bolt ISO 4762 M5x16</t>
  </si>
  <si>
    <t xml:space="preserve">ISO4762_M5x16.FCStd</t>
  </si>
  <si>
    <t xml:space="preserve">918f0bfb-b3f9-48d6-8a08-3557693f0c0e</t>
  </si>
  <si>
    <t xml:space="preserve">000027</t>
  </si>
  <si>
    <t xml:space="preserve">Bolt ISO 4762 M5x20</t>
  </si>
  <si>
    <t xml:space="preserve">ISO4762_M5x20.FCStd</t>
  </si>
  <si>
    <t xml:space="preserve">6907b611-8ac7-4cc8-a971-e7859edbca95</t>
  </si>
  <si>
    <t xml:space="preserve">000028</t>
  </si>
  <si>
    <t xml:space="preserve">Bolt ISO 4762 M5x25</t>
  </si>
  <si>
    <t xml:space="preserve">ISO4762_M5x25.FCStd</t>
  </si>
  <si>
    <t xml:space="preserve">c66f27f7-cb41-419f-bdea-163ef253fda1</t>
  </si>
  <si>
    <t xml:space="preserve">000029</t>
  </si>
  <si>
    <t xml:space="preserve">Bolt ISO 4762 M5x30</t>
  </si>
  <si>
    <t xml:space="preserve">ISO4762_M5x30.FCStd</t>
  </si>
  <si>
    <t xml:space="preserve">30f84d49-1284-4035-9ca5-b8794d1f9e1a</t>
  </si>
  <si>
    <t xml:space="preserve">000030</t>
  </si>
  <si>
    <t xml:space="preserve">Bolt ISO 4762 M5x35</t>
  </si>
  <si>
    <t xml:space="preserve">ISO4762_M5x35.FCStd</t>
  </si>
  <si>
    <t xml:space="preserve">5f4349a5-09d5-47e7-8ae4-8f57b6049768</t>
  </si>
  <si>
    <t xml:space="preserve">000031</t>
  </si>
  <si>
    <t xml:space="preserve">Bolt ISO 4762 M5x40</t>
  </si>
  <si>
    <t xml:space="preserve">ISO4762_M5x40.FCStd</t>
  </si>
  <si>
    <t xml:space="preserve">bf779075-4558-44b2-8db0-44e8b19e14e4</t>
  </si>
  <si>
    <t xml:space="preserve">000032</t>
  </si>
  <si>
    <t xml:space="preserve">Bolt ISO 4762 M5x45</t>
  </si>
  <si>
    <t xml:space="preserve">ISO4762_M5x45.FCStd</t>
  </si>
  <si>
    <t xml:space="preserve">1e4b76be-8cd2-488d-9011-a052031ac0df</t>
  </si>
  <si>
    <t xml:space="preserve">000033</t>
  </si>
  <si>
    <t xml:space="preserve">Bolt ISO 4762 M5x50</t>
  </si>
  <si>
    <t xml:space="preserve">ISO4762_M5x50.FCStd</t>
  </si>
  <si>
    <t xml:space="preserve">07ef8bb2-9e01-43c7-9c74-d98f9cee9090</t>
  </si>
  <si>
    <t xml:space="preserve">000034</t>
  </si>
  <si>
    <t xml:space="preserve">Bolt ISO 4762 M6x8</t>
  </si>
  <si>
    <t xml:space="preserve">ISO4762_M6x8.FCStd</t>
  </si>
  <si>
    <t xml:space="preserve">f11c0b51-7b65-4a38-9c7e-e5a571c0c24f</t>
  </si>
  <si>
    <t xml:space="preserve">000035</t>
  </si>
  <si>
    <t xml:space="preserve">Bolt ISO 4762 M6x10</t>
  </si>
  <si>
    <t xml:space="preserve">ISO4762_M6x10.FCStd</t>
  </si>
  <si>
    <t xml:space="preserve">6495e1fc-a1eb-4199-959b-a444ffe53b21</t>
  </si>
  <si>
    <t xml:space="preserve">000036</t>
  </si>
  <si>
    <t xml:space="preserve">Bolt ISO 4762 M6x12</t>
  </si>
  <si>
    <t xml:space="preserve">ISO4762_M6x12.FCStd</t>
  </si>
  <si>
    <t xml:space="preserve">a1ab826f-9668-4f4b-972b-9b82512ad02e</t>
  </si>
  <si>
    <t xml:space="preserve">000037</t>
  </si>
  <si>
    <t xml:space="preserve">Bolt ISO 4762 M6x14</t>
  </si>
  <si>
    <t xml:space="preserve">ISO4762_M6x14.FCStd</t>
  </si>
  <si>
    <t xml:space="preserve">d684e441-05c6-456d-972a-73be7c98f2d1</t>
  </si>
  <si>
    <t xml:space="preserve">000038</t>
  </si>
  <si>
    <t xml:space="preserve">Bolt ISO 4762 M6x16</t>
  </si>
  <si>
    <t xml:space="preserve">ISO4762_M6x16.FCStd</t>
  </si>
  <si>
    <t xml:space="preserve">341f0a58-507d-430d-a53f-8ee794314df3</t>
  </si>
  <si>
    <t xml:space="preserve">000039</t>
  </si>
  <si>
    <t xml:space="preserve">Bolt ISO 4762 M6x20</t>
  </si>
  <si>
    <t xml:space="preserve">ISO4762_M6x20.FCStd</t>
  </si>
  <si>
    <t xml:space="preserve">32d4e3c6-c2ba-4faa-8769-208846b55866</t>
  </si>
  <si>
    <t xml:space="preserve">000040</t>
  </si>
  <si>
    <t xml:space="preserve">Bolt ISO 4762 M6x25</t>
  </si>
  <si>
    <t xml:space="preserve">ISO4762_M6x25.FCStd</t>
  </si>
  <si>
    <t xml:space="preserve">ec2053ce-0e5f-4595-8a0f-d358b269abeb</t>
  </si>
  <si>
    <t xml:space="preserve">000041</t>
  </si>
  <si>
    <t xml:space="preserve">Bolt ISO 4762 M6x30</t>
  </si>
  <si>
    <t xml:space="preserve">ISO4762_M6x30.FCStd</t>
  </si>
  <si>
    <t xml:space="preserve">ad5c7844-7d5e-42bd-84b8-b6a44621af2f</t>
  </si>
  <si>
    <t xml:space="preserve">000042</t>
  </si>
  <si>
    <t xml:space="preserve">Bolt ISO 4762 M6x35</t>
  </si>
  <si>
    <t xml:space="preserve">ISO4762_M6x35.FCStd</t>
  </si>
  <si>
    <t xml:space="preserve">da3b14b1-69c2-4ac7-bebf-268c4777f000</t>
  </si>
  <si>
    <t xml:space="preserve">000043</t>
  </si>
  <si>
    <t xml:space="preserve">Bolt ISO 4762 M6x40</t>
  </si>
  <si>
    <t xml:space="preserve">ISO4762_M6x40.FCStd</t>
  </si>
  <si>
    <t xml:space="preserve">2495fae5-3f06-4c84-95b2-34b191a5934c</t>
  </si>
  <si>
    <t xml:space="preserve">000044</t>
  </si>
  <si>
    <t xml:space="preserve">Bolt ISO 4762 M6x45</t>
  </si>
  <si>
    <t xml:space="preserve">ISO4762_M6x45.FCStd</t>
  </si>
  <si>
    <t xml:space="preserve">37df6127-c3e0-4cc4-9835-3efadcf3ac13</t>
  </si>
  <si>
    <t xml:space="preserve">000045</t>
  </si>
  <si>
    <t xml:space="preserve">Bolt ISO 4762 M6x50</t>
  </si>
  <si>
    <t xml:space="preserve">ISO4762_M6x50.FCStd</t>
  </si>
  <si>
    <t xml:space="preserve">4e511aa5-b02b-43af-887f-b92c921aabbf</t>
  </si>
  <si>
    <t xml:space="preserve">000046</t>
  </si>
  <si>
    <t xml:space="preserve">Bolt ISO 4762 M6x55</t>
  </si>
  <si>
    <t xml:space="preserve">ISO4762_M6x55.FCStd</t>
  </si>
  <si>
    <t xml:space="preserve">bd163645-7527-491a-ad9a-dfdb6384be42</t>
  </si>
  <si>
    <t xml:space="preserve">000047</t>
  </si>
  <si>
    <t xml:space="preserve">Bolt ISO 4762 M6x60</t>
  </si>
  <si>
    <t xml:space="preserve">ISO4762_M6x60.FCStd</t>
  </si>
  <si>
    <t xml:space="preserve">db37c7a8-8940-4930-b664-71cf2d8b5cd5</t>
  </si>
  <si>
    <t xml:space="preserve">000048</t>
  </si>
  <si>
    <t xml:space="preserve">Bolt ISO 4762 M6x65</t>
  </si>
  <si>
    <t xml:space="preserve">ISO4762_M6x65.FCStd</t>
  </si>
  <si>
    <t xml:space="preserve">b9501428-56ca-462d-b8fc-1c2fdb0e3440</t>
  </si>
  <si>
    <t xml:space="preserve">000049</t>
  </si>
  <si>
    <t xml:space="preserve">Bolt ISO 4762 M6x70</t>
  </si>
  <si>
    <t xml:space="preserve">ISO4762_M6x70.FCStd</t>
  </si>
  <si>
    <t xml:space="preserve">f0f71aed-b4c5-4151-8328-bb3e5be5ce0c</t>
  </si>
  <si>
    <t xml:space="preserve">000050</t>
  </si>
  <si>
    <t xml:space="preserve">Bolt ISO 4762 M6x75</t>
  </si>
  <si>
    <t xml:space="preserve">ISO4762_M6x75.FCStd</t>
  </si>
  <si>
    <t xml:space="preserve">8605060f-0d02-4aed-a930-ceebe98c4b96</t>
  </si>
  <si>
    <t xml:space="preserve">000051</t>
  </si>
  <si>
    <t xml:space="preserve">Bolt ISO 4762 M6x80</t>
  </si>
  <si>
    <t xml:space="preserve">ISO4762_M6x80.FCStd</t>
  </si>
  <si>
    <t xml:space="preserve">3be02849-ec89-4cda-9b7c-6b6af2367691</t>
  </si>
  <si>
    <t xml:space="preserve">000052</t>
  </si>
  <si>
    <t xml:space="preserve">Bolt ISO 4762 M6x85</t>
  </si>
  <si>
    <t xml:space="preserve">ISO4762_M6x85.FCStd</t>
  </si>
  <si>
    <t xml:space="preserve">a60e1a4d-d611-4689-984d-862c62e0dee9</t>
  </si>
  <si>
    <t xml:space="preserve">000053</t>
  </si>
  <si>
    <t xml:space="preserve">Bolt ISO 4762 M6x90</t>
  </si>
  <si>
    <t xml:space="preserve">ISO4762_M6x90.FCStd</t>
  </si>
  <si>
    <t xml:space="preserve">56d091ca-f6fc-447c-8fed-36765cc606a9</t>
  </si>
  <si>
    <t xml:space="preserve">000054</t>
  </si>
  <si>
    <t xml:space="preserve">Bolt ISO 4762 M8x10</t>
  </si>
  <si>
    <t xml:space="preserve">ISO4762_M8x10.FCStd</t>
  </si>
  <si>
    <t xml:space="preserve">e42b7354-911e-4d3e-9b1c-d52252e3f3e0</t>
  </si>
  <si>
    <t xml:space="preserve">000055</t>
  </si>
  <si>
    <t xml:space="preserve">Bolt ISO 4762 M8x12</t>
  </si>
  <si>
    <t xml:space="preserve">ISO4762_M8x12.FCStd</t>
  </si>
  <si>
    <t xml:space="preserve">4672c164-10c0-4951-97d8-b2e5d220e332</t>
  </si>
  <si>
    <t xml:space="preserve">000056</t>
  </si>
  <si>
    <t xml:space="preserve">Bolt ISO 4762 M8x14</t>
  </si>
  <si>
    <t xml:space="preserve">ISO4762_M8x14.FCStd</t>
  </si>
  <si>
    <t xml:space="preserve">6f418f78-c9af-4a5d-b039-e2deb1e8e229</t>
  </si>
  <si>
    <t xml:space="preserve">000057</t>
  </si>
  <si>
    <t xml:space="preserve">Bolt ISO 4762 M8x16</t>
  </si>
  <si>
    <t xml:space="preserve">ISO4762_M8x16.FCStd</t>
  </si>
  <si>
    <t xml:space="preserve">afbeb3fb-2842-47cb-8e19-0c77a354a189</t>
  </si>
  <si>
    <t xml:space="preserve">000058</t>
  </si>
  <si>
    <t xml:space="preserve">Bolt ISO 4762 M8x20</t>
  </si>
  <si>
    <t xml:space="preserve">ISO4762_M8x20.FCStd</t>
  </si>
  <si>
    <t xml:space="preserve">118d248c-ed7d-406c-b284-0204bf64f4d0</t>
  </si>
  <si>
    <t xml:space="preserve">000059</t>
  </si>
  <si>
    <t xml:space="preserve">Bolt ISO 4762 M8x25</t>
  </si>
  <si>
    <t xml:space="preserve">ISO4762_M8x25.FCStd</t>
  </si>
  <si>
    <t xml:space="preserve">c898480d-35cc-4324-a8cb-3cda1cd8db02</t>
  </si>
  <si>
    <t xml:space="preserve">000060</t>
  </si>
  <si>
    <t xml:space="preserve">Bolt ISO 4762 M8x30</t>
  </si>
  <si>
    <t xml:space="preserve">ISO4762_M8x30.FCStd</t>
  </si>
  <si>
    <t xml:space="preserve">dd3f1251-b4fe-43de-989d-7f59bb4b586d</t>
  </si>
  <si>
    <t xml:space="preserve">000061</t>
  </si>
  <si>
    <t xml:space="preserve">Bolt ISO 4762 M8x35</t>
  </si>
  <si>
    <t xml:space="preserve">ISO4762_M8x35.FCStd</t>
  </si>
  <si>
    <t xml:space="preserve">be8c6b2d-b569-4823-8d50-e0c3b98c9089</t>
  </si>
  <si>
    <t xml:space="preserve">000062</t>
  </si>
  <si>
    <t xml:space="preserve">Bolt ISO 4762 M8x40</t>
  </si>
  <si>
    <t xml:space="preserve">ISO4762_M8x40.FCStd</t>
  </si>
  <si>
    <t xml:space="preserve">ccb61c83-c9f9-429f-a718-79645c5439f5</t>
  </si>
  <si>
    <t xml:space="preserve">000063</t>
  </si>
  <si>
    <t xml:space="preserve">Bolt ISO 4762 M8x45</t>
  </si>
  <si>
    <t xml:space="preserve">ISO4762_M8x45.FCStd</t>
  </si>
  <si>
    <t xml:space="preserve">f8a5656e-b93c-491a-a8ba-38d20b715a01</t>
  </si>
  <si>
    <t xml:space="preserve">000064</t>
  </si>
  <si>
    <t xml:space="preserve">Bolt ISO 4762 M8x50</t>
  </si>
  <si>
    <t xml:space="preserve">ISO4762_M8x50.FCStd</t>
  </si>
  <si>
    <t xml:space="preserve">b5f96dfb-7616-44f0-bd19-09394d95b410</t>
  </si>
  <si>
    <t xml:space="preserve">000065</t>
  </si>
  <si>
    <t xml:space="preserve">Bolt ISO 4762 M8x55</t>
  </si>
  <si>
    <t xml:space="preserve">ISO4762_M8x55.FCStd</t>
  </si>
  <si>
    <t xml:space="preserve">81ad69f4-da5e-43af-bafd-af7e897b0a3f</t>
  </si>
  <si>
    <t xml:space="preserve">000066</t>
  </si>
  <si>
    <t xml:space="preserve">Bolt ISO 4762 M8x60</t>
  </si>
  <si>
    <t xml:space="preserve">ISO4762_M8x60.FCStd</t>
  </si>
  <si>
    <t xml:space="preserve">93bdd602-20a8-49fe-903b-95cbbbd0e345</t>
  </si>
  <si>
    <t xml:space="preserve">000067</t>
  </si>
  <si>
    <t xml:space="preserve">Bolt ISO 4762 M8x65</t>
  </si>
  <si>
    <t xml:space="preserve">ISO4762_M8x65.FCStd</t>
  </si>
  <si>
    <t xml:space="preserve">8a654e6c-d2db-4671-b402-2b1bd2bda29c</t>
  </si>
  <si>
    <t xml:space="preserve">000068</t>
  </si>
  <si>
    <t xml:space="preserve">Bolt ISO 4762 M8x70</t>
  </si>
  <si>
    <t xml:space="preserve">ISO4762_M8x70.FCStd</t>
  </si>
  <si>
    <t xml:space="preserve">51993b48-fa35-4e08-97e4-6944fc723dd4</t>
  </si>
  <si>
    <t xml:space="preserve">000069</t>
  </si>
  <si>
    <t xml:space="preserve">Bolt ISO 4762 M8x75</t>
  </si>
  <si>
    <t xml:space="preserve">ISO4762_M8x75.FCStd</t>
  </si>
  <si>
    <t xml:space="preserve">59d561e3-8974-4cd0-a7c5-2147c2922baa</t>
  </si>
  <si>
    <t xml:space="preserve">000070</t>
  </si>
  <si>
    <t xml:space="preserve">Bolt ISO 4762 M8x80</t>
  </si>
  <si>
    <t xml:space="preserve">ISO4762_M8x80.FCStd</t>
  </si>
  <si>
    <t xml:space="preserve">f16e141a-8792-4805-828c-c56f7e348361</t>
  </si>
  <si>
    <t xml:space="preserve">000071</t>
  </si>
  <si>
    <t xml:space="preserve">Nut DIN 934 M3</t>
  </si>
  <si>
    <t xml:space="preserve">A hexagon nut with metric threads</t>
  </si>
  <si>
    <t xml:space="preserve">DIN_934_M3.FCStd</t>
  </si>
  <si>
    <t xml:space="preserve">eb73aec0-a2e2-46f7-b0e2-ee5dcd9de1c6</t>
  </si>
  <si>
    <t xml:space="preserve">000072</t>
  </si>
  <si>
    <t xml:space="preserve">Nut DIN 934 M4</t>
  </si>
  <si>
    <t xml:space="preserve">DIN_934_M4.FCStd</t>
  </si>
  <si>
    <t xml:space="preserve">9722ee28-176b-4cd0-8c0d-bf0bb0fd7f59</t>
  </si>
  <si>
    <t xml:space="preserve">000073</t>
  </si>
  <si>
    <t xml:space="preserve">Nut DIN 934 M5</t>
  </si>
  <si>
    <t xml:space="preserve">DIN_934_M5.FCStd</t>
  </si>
  <si>
    <t xml:space="preserve">33aafafe-b4a9-417d-9834-ddbcc915490f</t>
  </si>
  <si>
    <t xml:space="preserve">000074</t>
  </si>
  <si>
    <t xml:space="preserve">Nut DIN 934 M6</t>
  </si>
  <si>
    <t xml:space="preserve">DIN_934_M6.FCStd</t>
  </si>
  <si>
    <t xml:space="preserve">76477be3-b05f-4347-bfb5-5cf388306cad</t>
  </si>
  <si>
    <t xml:space="preserve">000075</t>
  </si>
  <si>
    <t xml:space="preserve">Nut DIN 934 M8</t>
  </si>
  <si>
    <t xml:space="preserve">DIN_934_M8.FCStd</t>
  </si>
  <si>
    <t xml:space="preserve">16c65fff-28ae-4f8a-bf39-95c11ccc1e6e</t>
  </si>
  <si>
    <t xml:space="preserve">000076</t>
  </si>
  <si>
    <t xml:space="preserve">Washer ISO 7089 M3</t>
  </si>
  <si>
    <t xml:space="preserve">A plain (flat) washer for metric series bolts and screws</t>
  </si>
  <si>
    <t xml:space="preserve">ISO_7089_M3.FCStd</t>
  </si>
  <si>
    <t xml:space="preserve">22c734c4-4738-4b73-956d-fe063b6a1058</t>
  </si>
  <si>
    <t xml:space="preserve">000077</t>
  </si>
  <si>
    <t xml:space="preserve">Washer ISO 7089 M4</t>
  </si>
  <si>
    <t xml:space="preserve">ISO_7089_M4.FCStd</t>
  </si>
  <si>
    <t xml:space="preserve">eccd5733-43ad-43fa-9d9c-111524f0af24</t>
  </si>
  <si>
    <t xml:space="preserve">000078</t>
  </si>
  <si>
    <t xml:space="preserve">Washer ISO 7089 M5</t>
  </si>
  <si>
    <t xml:space="preserve">ISO_7089_M5.FCStd</t>
  </si>
  <si>
    <t xml:space="preserve">30ca3275-b8f6-4239-8812-98da61249940</t>
  </si>
  <si>
    <t xml:space="preserve">000079</t>
  </si>
  <si>
    <t xml:space="preserve">Washer ISO 7089 M6</t>
  </si>
  <si>
    <t xml:space="preserve">ISO_7089_M6.FCStd</t>
  </si>
  <si>
    <t xml:space="preserve">0b6628ae-c2b2-4c64-9afd-09f3cb9d8a88</t>
  </si>
  <si>
    <t xml:space="preserve">000080</t>
  </si>
  <si>
    <t xml:space="preserve">Washer ISO 7089 M8</t>
  </si>
  <si>
    <t xml:space="preserve">ISO_7089_M8.FCStd</t>
  </si>
  <si>
    <t xml:space="preserve">86117963-c8e9-43e8-a7eb-7c49b4e64e27</t>
  </si>
  <si>
    <t xml:space="preserve">MECH</t>
  </si>
  <si>
    <t xml:space="preserve">000081</t>
  </si>
  <si>
    <t xml:space="preserve">Linear rail SBR12 200 mm</t>
  </si>
  <si>
    <t xml:space="preserve">Linear motion guide rails, typically used with matching bearing blocks to provide smooth, precise linear movement in CNC machines, 3D printers, and automation equipment.</t>
  </si>
  <si>
    <t xml:space="preserve">SBR12S_200.FCStd</t>
  </si>
  <si>
    <t xml:space="preserve">d9dafff8-f0b7-433c-91a3-25468d58cd36</t>
  </si>
  <si>
    <t xml:space="preserve">000082</t>
  </si>
  <si>
    <t xml:space="preserve">Linear rail SBR12 300 mm</t>
  </si>
  <si>
    <t xml:space="preserve">SBR12S_300.FCStd</t>
  </si>
  <si>
    <t xml:space="preserve">37a6d4d4-ecca-45a9-9a93-25e7797dd793</t>
  </si>
  <si>
    <t xml:space="preserve">000083</t>
  </si>
  <si>
    <t xml:space="preserve">Linear rail SBR12 400 mm</t>
  </si>
  <si>
    <t xml:space="preserve">SBR12S_400.FCStd</t>
  </si>
  <si>
    <t xml:space="preserve">2e46fe08-818f-421b-8731-0236155c5aa9</t>
  </si>
  <si>
    <t xml:space="preserve">000084</t>
  </si>
  <si>
    <t xml:space="preserve">Linear rail SBR12 500 mm</t>
  </si>
  <si>
    <t xml:space="preserve">SBR12S_500.FCStd</t>
  </si>
  <si>
    <t xml:space="preserve">8e92125c-c013-4d13-8013-f9115a173d72</t>
  </si>
  <si>
    <t xml:space="preserve">000085</t>
  </si>
  <si>
    <t xml:space="preserve">Linear rail SBR12 600 mm</t>
  </si>
  <si>
    <t xml:space="preserve">SBR12S_600.FCStd</t>
  </si>
  <si>
    <t xml:space="preserve">bb7a6dfb-ec6f-42df-94eb-51be8ca25f34</t>
  </si>
  <si>
    <t xml:space="preserve">000086</t>
  </si>
  <si>
    <t xml:space="preserve">Linear rail SBR12 700 mm</t>
  </si>
  <si>
    <t xml:space="preserve">SBR12S_700.FCStd</t>
  </si>
  <si>
    <t xml:space="preserve">e7d11c50-59c3-4c2a-89d0-ebc396580a83</t>
  </si>
  <si>
    <t xml:space="preserve">000087</t>
  </si>
  <si>
    <t xml:space="preserve">Linear rail SBR12 800 mm</t>
  </si>
  <si>
    <t xml:space="preserve">SBR12S_800.FCStd</t>
  </si>
  <si>
    <t xml:space="preserve">6705327a-c929-44a9-9313-567f743bc07d</t>
  </si>
  <si>
    <t xml:space="preserve">000088</t>
  </si>
  <si>
    <t xml:space="preserve">Linear rail SBR12 1000 mm</t>
  </si>
  <si>
    <t xml:space="preserve">SBR12S_1000.FCStd</t>
  </si>
  <si>
    <t xml:space="preserve">0018c1df-fbb3-48a2-86d4-41af163a0900</t>
  </si>
  <si>
    <t xml:space="preserve">000089</t>
  </si>
  <si>
    <t xml:space="preserve">Linear rail SBR12 1200 mm</t>
  </si>
  <si>
    <t xml:space="preserve">SBR12S_1200.FCStd</t>
  </si>
  <si>
    <t xml:space="preserve">716028f5-b2cb-4ede-8759-7a0064d69acc</t>
  </si>
  <si>
    <t xml:space="preserve">000090</t>
  </si>
  <si>
    <t xml:space="preserve">Linear rail SBR12 1500 mm</t>
  </si>
  <si>
    <t xml:space="preserve">SBR12S_1500.FCStd</t>
  </si>
  <si>
    <t xml:space="preserve">d9f1f1df-1164-436b-94fa-cd7985de8a82</t>
  </si>
  <si>
    <t xml:space="preserve">000091</t>
  </si>
  <si>
    <t xml:space="preserve">Linear rail SBR16 200 mm</t>
  </si>
  <si>
    <t xml:space="preserve">SBR16S_200.FCStd</t>
  </si>
  <si>
    <t xml:space="preserve">cf110277-e036-497e-ae52-ff1162fe7eaf</t>
  </si>
  <si>
    <t xml:space="preserve">000092</t>
  </si>
  <si>
    <t xml:space="preserve">Linear rail SBR16 300 mm</t>
  </si>
  <si>
    <t xml:space="preserve">SBR16S_300.FCStd</t>
  </si>
  <si>
    <t xml:space="preserve">2b435d9d-24f6-4526-b53b-ce51e1d03d49</t>
  </si>
  <si>
    <t xml:space="preserve">000093</t>
  </si>
  <si>
    <t xml:space="preserve">Linear rail SBR16 400 mm</t>
  </si>
  <si>
    <t xml:space="preserve">SBR16S_400.FCStd</t>
  </si>
  <si>
    <t xml:space="preserve">5edf0dbc-d283-4a23-a1db-11dca3bfef9b</t>
  </si>
  <si>
    <t xml:space="preserve">000094</t>
  </si>
  <si>
    <t xml:space="preserve">Linear rail SBR16 500 mm</t>
  </si>
  <si>
    <t xml:space="preserve">SBR16S_500.FCStd</t>
  </si>
  <si>
    <t xml:space="preserve">4b795c48-e6a6-4968-9e22-9142ed361d40</t>
  </si>
  <si>
    <t xml:space="preserve">000095</t>
  </si>
  <si>
    <t xml:space="preserve">Linear rail SBR16 600 mm</t>
  </si>
  <si>
    <t xml:space="preserve">SBR16S_600.FCStd</t>
  </si>
  <si>
    <t xml:space="preserve">7f6a81e9-01c3-48a6-8a01-4974cd51d02e</t>
  </si>
  <si>
    <t xml:space="preserve">000096</t>
  </si>
  <si>
    <t xml:space="preserve">Linear rail SBR16 700 mm</t>
  </si>
  <si>
    <t xml:space="preserve">SBR16S_700.FCStd</t>
  </si>
  <si>
    <t xml:space="preserve">cbdf1532-df1c-4f82-9d51-39cb98a5f400</t>
  </si>
  <si>
    <t xml:space="preserve">000097</t>
  </si>
  <si>
    <t xml:space="preserve">Linear rail SBR16 800 mm</t>
  </si>
  <si>
    <t xml:space="preserve">SBR16S_800.FCStd</t>
  </si>
  <si>
    <t xml:space="preserve">597605e3-e978-4218-8071-ee268eb3dd68</t>
  </si>
  <si>
    <t xml:space="preserve">000098</t>
  </si>
  <si>
    <t xml:space="preserve">Linear rail SBR16 1000 mm</t>
  </si>
  <si>
    <t xml:space="preserve">SBR16S_1000.FCStd</t>
  </si>
  <si>
    <t xml:space="preserve">be1584c2-f808-4414-ae5b-4d2988e8e170</t>
  </si>
  <si>
    <t xml:space="preserve">000099</t>
  </si>
  <si>
    <t xml:space="preserve">Linear rail SBR16 1200 mm</t>
  </si>
  <si>
    <t xml:space="preserve">SBR16S_1200.FCStd</t>
  </si>
  <si>
    <t xml:space="preserve">0a26d139-1d7e-451b-90f8-54956e13750e</t>
  </si>
  <si>
    <t xml:space="preserve">000100</t>
  </si>
  <si>
    <t xml:space="preserve">Linear rail SBR16 1500 mm</t>
  </si>
  <si>
    <t xml:space="preserve">SBR16S_1500.FCStd</t>
  </si>
  <si>
    <t xml:space="preserve">b65c745b-85c3-4175-8cb4-ed2c39fe1c58</t>
  </si>
  <si>
    <t xml:space="preserve">000101</t>
  </si>
  <si>
    <t xml:space="preserve">Sliding block SBR12UU</t>
  </si>
  <si>
    <t xml:space="preserve">Linear motion bearing blocks designed to slide smoothly along SBR round shaft rails, providing low-friction support for precise linear movement in CNC machines, 3D printers, and automation systems.</t>
  </si>
  <si>
    <t xml:space="preserve">SBR12UU.FCStd</t>
  </si>
  <si>
    <t xml:space="preserve">225d086e-7fe8-4bb9-8864-b1ed1ea98a4f</t>
  </si>
  <si>
    <t xml:space="preserve">000102</t>
  </si>
  <si>
    <t xml:space="preserve">Sliding block SBR16UU</t>
  </si>
  <si>
    <t xml:space="preserve">SBR16UU.FCStd</t>
  </si>
  <si>
    <t xml:space="preserve">2f9946a2-f6af-4d09-a5bc-f2c3fe04b506</t>
  </si>
  <si>
    <t xml:space="preserve">000103</t>
  </si>
  <si>
    <t xml:space="preserve">Aluminum profile mk 2060.05 100 mm</t>
  </si>
  <si>
    <t xml:space="preserve">The Series 60 aluminum profiles are heavy-duty 60x60 modular profiles designed for maximum load capacity.</t>
  </si>
  <si>
    <t xml:space="preserve">mk_2060.05_100.FCStd</t>
  </si>
  <si>
    <t xml:space="preserve">ecb43fe8-07a4-4035-be9a-5da803e9d0ae</t>
  </si>
  <si>
    <t xml:space="preserve">000104</t>
  </si>
  <si>
    <t xml:space="preserve">Aluminum profile mk 2060.05 200 mm</t>
  </si>
  <si>
    <t xml:space="preserve">mk_2060.05_200.FCStd</t>
  </si>
  <si>
    <t xml:space="preserve">38cc00bd-a67f-462e-a4eb-b3a12ca28de8</t>
  </si>
  <si>
    <t xml:space="preserve">000105</t>
  </si>
  <si>
    <t xml:space="preserve">Aluminum profile mk 2060.05 300 mm</t>
  </si>
  <si>
    <t xml:space="preserve">mk_2060.05_300.FCStd</t>
  </si>
  <si>
    <t xml:space="preserve">e1763917-6aff-4b43-9e59-5ee7e092e1ed</t>
  </si>
  <si>
    <t xml:space="preserve">000106</t>
  </si>
  <si>
    <t xml:space="preserve">Aluminum profile mk 2060.05 400 mm</t>
  </si>
  <si>
    <t xml:space="preserve">mk_2060.05_400.FCStd</t>
  </si>
  <si>
    <t xml:space="preserve">56aa876c-2af6-43f6-92b7-ad90c63eb38d</t>
  </si>
  <si>
    <t xml:space="preserve">000107</t>
  </si>
  <si>
    <t xml:space="preserve">Aluminum profile mk 2060.05 500 mm</t>
  </si>
  <si>
    <t xml:space="preserve">mk_2060.05_500.FCStd</t>
  </si>
  <si>
    <t xml:space="preserve">a13a436c-2cc4-4155-8045-6cb88441ef10</t>
  </si>
  <si>
    <t xml:space="preserve">000108</t>
  </si>
  <si>
    <t xml:space="preserve">Aluminum profile mk 2060.05 600 mm</t>
  </si>
  <si>
    <t xml:space="preserve">mk_2060.05_600.FCStd</t>
  </si>
  <si>
    <t xml:space="preserve">1362af27-62a2-410c-8751-3a59fba07a30</t>
  </si>
  <si>
    <t xml:space="preserve">000109</t>
  </si>
  <si>
    <t xml:space="preserve">Aluminum profile mk 2060.05 700 mm</t>
  </si>
  <si>
    <t xml:space="preserve">mk_2060.05_700.FCStd</t>
  </si>
  <si>
    <t xml:space="preserve">f42a9bc5-c8c3-40b0-b112-9d4b1c8c01c4</t>
  </si>
  <si>
    <t xml:space="preserve">000110</t>
  </si>
  <si>
    <t xml:space="preserve">Aluminum profile mk 2060.05 800 mm</t>
  </si>
  <si>
    <t xml:space="preserve">mk_2060.05_800.FCStd</t>
  </si>
  <si>
    <t xml:space="preserve">6d59f850-7852-42a3-ab2d-98ddd7e33474</t>
  </si>
  <si>
    <t xml:space="preserve">000111</t>
  </si>
  <si>
    <t xml:space="preserve">Aluminum profile mk 2060.05 900 mm</t>
  </si>
  <si>
    <t xml:space="preserve">mk_2060.05_900.FCStd</t>
  </si>
  <si>
    <t xml:space="preserve">3a740f7b-7fd8-4134-9184-75353145dbc7</t>
  </si>
  <si>
    <t xml:space="preserve">000112</t>
  </si>
  <si>
    <t xml:space="preserve">Aluminum profile mk 2060.05 1000 mm</t>
  </si>
  <si>
    <t xml:space="preserve">mk_2060.05_1000.FCStd</t>
  </si>
  <si>
    <t xml:space="preserve">9661ca97-0aaa-4ae9-ad26-9f8c22716d1f</t>
  </si>
  <si>
    <t xml:space="preserve">000113</t>
  </si>
  <si>
    <t xml:space="preserve">Aluminum profile mk 2060.05 1100 mm</t>
  </si>
  <si>
    <t xml:space="preserve">mk_2060.05_1100.FCStd</t>
  </si>
  <si>
    <t xml:space="preserve">d671b9d7-a11d-4caa-8c0b-be038988b858</t>
  </si>
  <si>
    <t xml:space="preserve">000114</t>
  </si>
  <si>
    <t xml:space="preserve">Aluminum profile mk 2060.05 1200 mm</t>
  </si>
  <si>
    <t xml:space="preserve">mk_2060.05_1200.FCStd</t>
  </si>
  <si>
    <t xml:space="preserve">cac4eb40-578a-49b6-a4d8-d796bba82f50</t>
  </si>
  <si>
    <t xml:space="preserve">000115</t>
  </si>
  <si>
    <t xml:space="preserve">Aluminum profile mk 2060.05 1300 mm</t>
  </si>
  <si>
    <t xml:space="preserve">mk_2060.05_1300.FCStd</t>
  </si>
  <si>
    <t xml:space="preserve">355e1593-ed4b-4a1c-b8d8-486050ec04bc</t>
  </si>
  <si>
    <t xml:space="preserve">000116</t>
  </si>
  <si>
    <t xml:space="preserve">Aluminum profile mk 2060.05 1400 mm</t>
  </si>
  <si>
    <t xml:space="preserve">mk_2060.05_1400.FCStd</t>
  </si>
  <si>
    <t xml:space="preserve">9335a800-1140-496c-a161-607c16e73bb4</t>
  </si>
  <si>
    <t xml:space="preserve">000117</t>
  </si>
  <si>
    <t xml:space="preserve">Aluminum profile mk 2060.05 1500 mm</t>
  </si>
  <si>
    <t xml:space="preserve">mk_2060.05_1500.FCStd</t>
  </si>
  <si>
    <t xml:space="preserve">9398121b-ce13-4cfa-ad22-a496a19b0031</t>
  </si>
  <si>
    <t xml:space="preserve">000118</t>
  </si>
  <si>
    <t xml:space="preserve">Aluminum profile mk 2060.05 1600 mm</t>
  </si>
  <si>
    <t xml:space="preserve">mk_2060.05_1600.FCStd</t>
  </si>
  <si>
    <t xml:space="preserve">d4147ef5-dada-4fbc-825e-86ced84b610b</t>
  </si>
  <si>
    <t xml:space="preserve">000119</t>
  </si>
  <si>
    <t xml:space="preserve">Aluminum profile mk 2060.05 1700 mm</t>
  </si>
  <si>
    <t xml:space="preserve">mk_2060.05_1700.FCStd</t>
  </si>
  <si>
    <t xml:space="preserve">537a5c45-85aa-4fa4-857c-5d48b9be8a47</t>
  </si>
  <si>
    <t xml:space="preserve">000120</t>
  </si>
  <si>
    <t xml:space="preserve">Aluminum profile mk 2060.05 1800 mm</t>
  </si>
  <si>
    <t xml:space="preserve">mk_2060.05_1800.FCStd</t>
  </si>
  <si>
    <t xml:space="preserve">f15a570b-3fa3-44dd-a034-4f8c5efacdb5</t>
  </si>
  <si>
    <t xml:space="preserve">8311133e-21da-4966-8260-60a646333619</t>
  </si>
  <si>
    <t xml:space="preserve">d38c4046-8f04-416c-8064-d3f7fbc1a0bf</t>
  </si>
  <si>
    <t xml:space="preserve">3d46537b-4cee-4c0f-9e33-77bfa4894de6</t>
  </si>
  <si>
    <t xml:space="preserve">103d96ce-795a-4df5-afe1-345283c95a1d</t>
  </si>
  <si>
    <t xml:space="preserve">f36ec171-04a1-4b45-8a94-56ba1503885b</t>
  </si>
  <si>
    <t xml:space="preserve">5c81ed71-a0a2-43e0-8fd3-25dfb3c8a56a</t>
  </si>
  <si>
    <t xml:space="preserve">63bd1ea0-da80-4d1d-aad6-cf1831b8eb1c</t>
  </si>
  <si>
    <t xml:space="preserve">b78c4bb7-bbd0-4902-8c4c-4d948b4f439c</t>
  </si>
  <si>
    <t xml:space="preserve">e9246667-4493-4e30-874b-460b0676ab46</t>
  </si>
  <si>
    <t xml:space="preserve">ac3b813f-aed5-438e-9b56-d5c53a298cb4</t>
  </si>
  <si>
    <t xml:space="preserve">a95517bf-aa70-4185-af9a-723032c78b9d</t>
  </si>
  <si>
    <t xml:space="preserve">f145046f-a844-4c24-a4d0-32ad6a6d18d7</t>
  </si>
  <si>
    <t xml:space="preserve">c8ff7f44-7d39-4502-8cff-2fd6e9b0dce2</t>
  </si>
  <si>
    <t xml:space="preserve">1036ca52-376d-4872-a38e-c0040bc53bcc</t>
  </si>
  <si>
    <t xml:space="preserve">e326a78a-dac1-41c2-8dda-06a121b72ebb</t>
  </si>
  <si>
    <t xml:space="preserve">d0e9e955-778d-4820-8dbd-1d2ed3ac0622</t>
  </si>
  <si>
    <t xml:space="preserve">10ae731a-7434-4602-87fe-86de0155c911</t>
  </si>
  <si>
    <t xml:space="preserve">b0b89124-5a5f-435e-9906-74da9de95e4f</t>
  </si>
  <si>
    <t xml:space="preserve">d8aa50e3-ed7a-4924-afb7-fba442941423</t>
  </si>
  <si>
    <t xml:space="preserve">ae6bac95-07c3-4201-8345-813e6ea73f62</t>
  </si>
  <si>
    <t xml:space="preserve">11511618-1c8d-4bec-bc56-32956e0a22ff</t>
  </si>
  <si>
    <t xml:space="preserve">2bee306c-73e9-4dc7-ab17-0916b75d4df0</t>
  </si>
  <si>
    <t xml:space="preserve">1c580193-c467-4b90-a0d8-f655935f94c8</t>
  </si>
  <si>
    <t xml:space="preserve">26d44f74-db5e-4579-b93f-c9361f559954</t>
  </si>
  <si>
    <t xml:space="preserve">977aed05-3f36-4950-aaf6-682e68b9e8b4</t>
  </si>
  <si>
    <t xml:space="preserve">ee842dd8-ff2f-4670-9868-0730de4fd3cc</t>
  </si>
  <si>
    <t xml:space="preserve">63ccbe3a-1ab3-419d-bc22-a964639373c2</t>
  </si>
  <si>
    <t xml:space="preserve">be003c09-05f2-42aa-bd7e-13a53a79a5b3</t>
  </si>
  <si>
    <t xml:space="preserve">1bcba975-a4b6-436d-b0c3-c0081ed00660</t>
  </si>
  <si>
    <t xml:space="preserve">3bdceb03-79da-400d-a223-cb3968c446cf</t>
  </si>
  <si>
    <t xml:space="preserve">ee92e8bd-829f-4c46-882a-407a885c3ca4</t>
  </si>
  <si>
    <t xml:space="preserve">885642c8-a734-4f3b-a6bf-46146c472401</t>
  </si>
  <si>
    <t xml:space="preserve">5ba56fad-3905-42d0-b9d6-2f3f8025cc6e</t>
  </si>
  <si>
    <t xml:space="preserve">5fdc1691-66ab-4b93-95b9-ef38ebfe197d</t>
  </si>
  <si>
    <t xml:space="preserve">c2ca9087-8c06-440e-804e-6bfaf4d5a506</t>
  </si>
  <si>
    <t xml:space="preserve">384fbbf8-680a-43e9-97ea-79a27db8ae68</t>
  </si>
  <si>
    <t xml:space="preserve">af516f4f-05b7-4df1-98cc-a9246988a4dc</t>
  </si>
  <si>
    <t xml:space="preserve">dc796f0e-d6f4-4bbc-b8a5-77f1c07be99e</t>
  </si>
  <si>
    <t xml:space="preserve">d3d0d950-ea22-49b8-b710-b70cb9d6d54d</t>
  </si>
  <si>
    <t xml:space="preserve">9ebf0575-244e-4c32-af81-f25137658a08</t>
  </si>
  <si>
    <t xml:space="preserve">fe48d365-a7eb-407b-a2d0-b4a3a2089a8e</t>
  </si>
  <si>
    <t xml:space="preserve">0ba985fe-2ca1-49f4-b8c6-e18a68801420</t>
  </si>
  <si>
    <t xml:space="preserve">81a2688b-38ef-4d65-a6a5-70ac4569d75d</t>
  </si>
  <si>
    <t xml:space="preserve">d99f18c1-e37c-4e26-be13-eefc2d6afa63</t>
  </si>
  <si>
    <t xml:space="preserve">083a111a-c3d7-45fb-9f42-7afa7fed4817</t>
  </si>
  <si>
    <t xml:space="preserve">a5024fd6-324f-4f2c-a46a-603f3d5fd1d7</t>
  </si>
  <si>
    <t xml:space="preserve">0de73eba-8a97-4caf-a620-1d7342ec0993</t>
  </si>
  <si>
    <t xml:space="preserve">f9d96345-908d-4fbb-bff5-07fd8599609f</t>
  </si>
  <si>
    <t xml:space="preserve">d135602d-abaf-4370-86bd-4544448e1e52</t>
  </si>
  <si>
    <t xml:space="preserve">3f7546ac-6b88-4f2c-9419-22102d5b4c6c</t>
  </si>
  <si>
    <t xml:space="preserve">fb4222fe-902b-4edf-a5d9-e037996c1f3d</t>
  </si>
  <si>
    <t xml:space="preserve">38f0e6a3-a3b0-41a5-8dc2-21c0497eddeb</t>
  </si>
  <si>
    <t xml:space="preserve">bf283d18-de2b-459a-9a5d-e6c2dd14e8b1</t>
  </si>
  <si>
    <t xml:space="preserve">063ce9cf-7181-44eb-8fc7-b3c76be94146</t>
  </si>
  <si>
    <t xml:space="preserve">4f1ec989-c85d-4741-b77f-c493097783e7</t>
  </si>
  <si>
    <t xml:space="preserve">f136be20-2eac-4cdc-bf8d-278f2752b0c3</t>
  </si>
  <si>
    <t xml:space="preserve">8f3b3191-d311-4759-b930-1bda86b049af</t>
  </si>
  <si>
    <t xml:space="preserve">4a41bb44-ee53-434a-934e-731d52cc23db</t>
  </si>
  <si>
    <t xml:space="preserve">2998cbe0-511b-4f4e-b655-780b8e6df529</t>
  </si>
  <si>
    <t xml:space="preserve">f9895a08-6e35-4ef6-9b52-2aa5f8bfeaed</t>
  </si>
  <si>
    <t xml:space="preserve">06e203ed-edec-4471-9a02-038b5062aa33</t>
  </si>
  <si>
    <t xml:space="preserve">e30ad02c-1e80-44be-ada7-def1f018b26f</t>
  </si>
  <si>
    <t xml:space="preserve">3b090ad7-acdf-4a6b-815d-2ecbfdf84533</t>
  </si>
  <si>
    <t xml:space="preserve">be3759fb-56b2-46ec-9a04-5626e9c518ee</t>
  </si>
  <si>
    <t xml:space="preserve">e528c724-7a8d-437b-84cb-72eb03f38eda</t>
  </si>
  <si>
    <t xml:space="preserve">c2c0508b-ca0d-46e6-8c66-a896eb430d3e</t>
  </si>
  <si>
    <t xml:space="preserve">d71cc93f-b466-4dde-a20e-65e000dabbac</t>
  </si>
  <si>
    <t xml:space="preserve">fd072f20-4245-4c16-b627-5f4d6fb1b735</t>
  </si>
  <si>
    <t xml:space="preserve">3596e8d2-33c9-4e9c-955d-b6d97619640a</t>
  </si>
  <si>
    <t xml:space="preserve">8f4db933-156d-466a-b660-19fb0dc1f133</t>
  </si>
  <si>
    <t xml:space="preserve">2a2b9324-37cf-4694-a598-961dc5512f57</t>
  </si>
  <si>
    <t xml:space="preserve">8d534639-0d69-4077-ba8f-d300c3b8ceb0</t>
  </si>
  <si>
    <t xml:space="preserve">45429cf7-5483-4425-8c6c-db1273a157ff</t>
  </si>
  <si>
    <t xml:space="preserve">d92b8d35-6fe5-4048-96b9-5ecc51af4f97</t>
  </si>
  <si>
    <t xml:space="preserve">1b3ba4fc-b72d-46fe-a719-9ee2fdc3c36d</t>
  </si>
  <si>
    <t xml:space="preserve">c12a8d6c-045a-4691-987b-d9d3a98ec1fd</t>
  </si>
  <si>
    <t xml:space="preserve">bcaa46cd-be18-41d6-91b4-dcf660c829d0</t>
  </si>
  <si>
    <t xml:space="preserve">20ade4a0-cbc9-48f2-942b-70826f1265df</t>
  </si>
  <si>
    <t xml:space="preserve">6e6dd5f8-bbe6-4c31-a2d4-4e258fddabf5</t>
  </si>
  <si>
    <t xml:space="preserve">23ec7bfa-8adc-4c3e-ba98-71565077ffb3</t>
  </si>
  <si>
    <t xml:space="preserve">076a8282-67e5-4ae2-9fff-93436788d8f8</t>
  </si>
  <si>
    <t xml:space="preserve">d07b8a0d-fc9d-4178-af2a-7b89e432343e</t>
  </si>
  <si>
    <t xml:space="preserve">015b32c6-0fc7-48b0-9b65-679ef6dc8235</t>
  </si>
  <si>
    <t xml:space="preserve">60e731f9-b49e-43aa-9911-ff67ae8104e0</t>
  </si>
  <si>
    <t xml:space="preserve">b4052e13-f7a1-4298-9fe8-18e97c1e1d7e</t>
  </si>
  <si>
    <t xml:space="preserve">7744a52d-5e3c-4630-9020-5d9a0b208660</t>
  </si>
  <si>
    <t xml:space="preserve">56d417ba-d6d8-4f28-bc6c-72d3c0dc9e2d</t>
  </si>
  <si>
    <t xml:space="preserve">3b73a964-8d5a-48ef-9e77-626a1e577ddf</t>
  </si>
  <si>
    <t xml:space="preserve">a1ac9ff2-e42b-4e89-87c5-c0bc60fce6bf</t>
  </si>
  <si>
    <t xml:space="preserve">dfc5715d-cfc4-4d80-8cc2-6f020c042bf2</t>
  </si>
  <si>
    <t xml:space="preserve">13d1a32d-4496-4657-9b2d-8468d47b0f30</t>
  </si>
  <si>
    <t xml:space="preserve">eb2c1b83-af4b-41be-9075-8965c63814ac</t>
  </si>
  <si>
    <t xml:space="preserve">41691df6-8f8a-40fa-b5c3-a45bf8f16eef</t>
  </si>
  <si>
    <t xml:space="preserve">ceaf9b55-a6ff-4dca-ad5d-9492156f95bc</t>
  </si>
  <si>
    <t xml:space="preserve">2919e99c-59a9-480b-b7b7-6ce49e8ab19e</t>
  </si>
  <si>
    <t xml:space="preserve">86374a90-600d-4d96-8763-8fb6e6213143</t>
  </si>
  <si>
    <t xml:space="preserve">1c0bbb98-1919-431c-870b-1aa7dcbaad24</t>
  </si>
  <si>
    <t xml:space="preserve">e7c65b94-c107-4ef4-a791-cf5f6cf51d46</t>
  </si>
  <si>
    <t xml:space="preserve">0cafe3bb-fa94-4d61-9aa2-8e82ab8e081b</t>
  </si>
  <si>
    <t xml:space="preserve">f5007d54-3486-4f47-8f13-d37358658326</t>
  </si>
  <si>
    <t xml:space="preserve">89f08610-1ec9-43ee-b43e-54875e4d4eab</t>
  </si>
  <si>
    <t xml:space="preserve">2379198b-1534-4012-ad97-2630bec14ec2</t>
  </si>
  <si>
    <t xml:space="preserve">eede78ef-b99f-4947-ac61-79eed17b5e1c</t>
  </si>
  <si>
    <t xml:space="preserve">c20f1ec0-ded4-4b7a-9097-11ab225c7a2f</t>
  </si>
  <si>
    <t xml:space="preserve">23c223f5-4412-48b0-9d80-f41a39c2bb2f</t>
  </si>
  <si>
    <t xml:space="preserve">fb38e1cb-f294-4aaa-9f7b-1810054d9556</t>
  </si>
  <si>
    <t xml:space="preserve">022ccfab-f744-4919-9d96-150597aca240</t>
  </si>
  <si>
    <t xml:space="preserve">37512694-0a19-4a48-a53e-0918b26d9500</t>
  </si>
  <si>
    <t xml:space="preserve">68422bb0-d422-4146-b856-c9b609480a1b</t>
  </si>
  <si>
    <t xml:space="preserve">d9fb23a8-bccd-4f22-96c0-d7226fd3acb8</t>
  </si>
  <si>
    <t xml:space="preserve">bc0cca2a-0b43-4d84-b4e2-1c57634fa2f8</t>
  </si>
  <si>
    <t xml:space="preserve">86f34865-17dc-474c-a0bd-d491f0411e05</t>
  </si>
  <si>
    <t xml:space="preserve">9dac9842-b094-4dc5-b973-41c6d7afa1ae</t>
  </si>
  <si>
    <t xml:space="preserve">507534f3-e937-41f8-93a7-aa5a6d0ae237</t>
  </si>
  <si>
    <t xml:space="preserve">8245b293-a021-4720-b861-18fb27f8e4c3</t>
  </si>
  <si>
    <t xml:space="preserve">8fc8f1dc-9b1f-4fae-be47-946b81c4d075</t>
  </si>
  <si>
    <t xml:space="preserve">6a8b16a1-8900-4605-b084-dc593dea165b</t>
  </si>
  <si>
    <t xml:space="preserve">719f8691-1cbe-4f21-a24e-8d358a2fe02d</t>
  </si>
  <si>
    <t xml:space="preserve">df08633b-f24b-4ce9-adcb-2c86b28402b3</t>
  </si>
  <si>
    <t xml:space="preserve">c4579d10-037f-4446-ab56-c64fc7bd78c5</t>
  </si>
  <si>
    <t xml:space="preserve">5ca7a3ef-9046-44f7-ad18-39437428c355</t>
  </si>
  <si>
    <t xml:space="preserve">35054ceb-8722-4eac-9fd3-f8d09853261e</t>
  </si>
  <si>
    <t xml:space="preserve">27a6882b-870b-40cb-87d5-3df6dbfb40a3</t>
  </si>
  <si>
    <t xml:space="preserve">e878c6e8-9874-491a-89b4-3502cb5b8fbf</t>
  </si>
  <si>
    <t xml:space="preserve">99260ee4-82f4-4265-b15f-2a613c758d11</t>
  </si>
  <si>
    <t xml:space="preserve">5872df51-76e3-466c-9cf0-c68e922a2690</t>
  </si>
  <si>
    <t xml:space="preserve">e76133ad-5e46-4eed-bb19-76b552f6a7e0</t>
  </si>
  <si>
    <t xml:space="preserve">67c70ca3-292b-42ca-89a7-4b6fd9eb0eb3</t>
  </si>
  <si>
    <t xml:space="preserve">4f9b8336-69de-4ebe-aee7-1373b48387d1</t>
  </si>
  <si>
    <t xml:space="preserve">1117eb83-39ac-40cb-a0b6-865fe1ee2177</t>
  </si>
  <si>
    <t xml:space="preserve">0f0a0047-9449-4393-82ae-759e6b3de49b</t>
  </si>
  <si>
    <t xml:space="preserve">7c5f92be-14f8-4d50-b3ee-658719f477d5</t>
  </si>
  <si>
    <t xml:space="preserve">bdba2cf4-7788-4e3b-9f79-c338613fdfa3</t>
  </si>
  <si>
    <t xml:space="preserve">01fde0bf-ae87-4832-b665-f3f8b3e47ba4</t>
  </si>
  <si>
    <t xml:space="preserve">8a654b53-a825-434b-ad51-a46b889a214d</t>
  </si>
  <si>
    <t xml:space="preserve">74f7a858-7d58-4ccf-9bcb-695e530064b5</t>
  </si>
  <si>
    <t xml:space="preserve">ca4ad6cc-fb07-43cf-8c79-fb462d2624b2</t>
  </si>
  <si>
    <t xml:space="preserve">d4029157-344b-434c-a914-d78681d3a7af</t>
  </si>
  <si>
    <t xml:space="preserve">2db3daed-318c-45c7-a19b-00c0a283c57d</t>
  </si>
  <si>
    <t xml:space="preserve">f67430d5-ce4a-4b73-8ef5-7e9c87e04330</t>
  </si>
  <si>
    <t xml:space="preserve">5fc7474e-aa8a-421c-bc27-4de01e73ce6e</t>
  </si>
  <si>
    <t xml:space="preserve">33095f0d-8bdc-4d02-b498-600ac057d79b</t>
  </si>
  <si>
    <t xml:space="preserve">b13175c4-be1c-42c9-8cb2-6e8fa2597df5</t>
  </si>
  <si>
    <t xml:space="preserve">a897f785-ba8d-46df-8d69-d5415efcf619</t>
  </si>
  <si>
    <t xml:space="preserve">f3c1657a-21da-4381-affa-8a5ca46b7eb5</t>
  </si>
  <si>
    <t xml:space="preserve">c09843f4-9c68-4896-be9e-68602a4c506f</t>
  </si>
  <si>
    <t xml:space="preserve">0cfe8afa-c0b1-4c68-809d-1574beffbaa6</t>
  </si>
  <si>
    <t xml:space="preserve">f277839f-bf98-4b35-8b99-8c01e432a223</t>
  </si>
  <si>
    <t xml:space="preserve">7f05e6f2-34fc-4a23-ba4f-2384dac2e2e2</t>
  </si>
  <si>
    <t xml:space="preserve">90679a28-b614-4180-9842-45cb4cbd44da</t>
  </si>
  <si>
    <t xml:space="preserve">317c1baf-43ed-41ea-835e-482a9a910f5b</t>
  </si>
  <si>
    <t xml:space="preserve">a3cc0129-fdcd-493d-a293-41b7c81390ca</t>
  </si>
  <si>
    <t xml:space="preserve">d171d882-dee9-4029-9dfc-1059230cc107</t>
  </si>
  <si>
    <t xml:space="preserve">14775cd8-0649-4f37-9f4c-71f1543e4e7b</t>
  </si>
  <si>
    <t xml:space="preserve">74fafb62-6cf2-424c-9af8-4496c9cf8d9e</t>
  </si>
  <si>
    <t xml:space="preserve">46ff0ba1-f023-4c09-b86c-a364b666aba6</t>
  </si>
  <si>
    <t xml:space="preserve">d22bb98d-296a-4033-9424-d16aeecc229f</t>
  </si>
  <si>
    <t xml:space="preserve">7959a43e-7d1c-4cc4-a4bf-f3f43ca77ffc</t>
  </si>
  <si>
    <t xml:space="preserve">1dc7d182-b747-46f0-9dac-9d12d3fde01c</t>
  </si>
  <si>
    <t xml:space="preserve">14b392a3-c72d-4b7e-b73c-94bcfff0a26c</t>
  </si>
  <si>
    <t xml:space="preserve">c1cdfe06-3910-4a40-b969-c0c7c3af9f86</t>
  </si>
  <si>
    <t xml:space="preserve">b87eacc1-fa71-40a7-a940-11bcc54898d0</t>
  </si>
  <si>
    <t xml:space="preserve">b7d52b18-b8d8-4f4c-9901-776c0ab7aabb</t>
  </si>
  <si>
    <t xml:space="preserve">336146a2-5f81-4a22-84d6-cc01336e9dee</t>
  </si>
  <si>
    <t xml:space="preserve">10f71a44-b6b0-4255-857c-0dedd49cc351</t>
  </si>
  <si>
    <t xml:space="preserve">53b08f5a-33d0-438c-b37d-3498cc093afa</t>
  </si>
  <si>
    <t xml:space="preserve">5f99aa4b-cf4c-4081-bb1e-bff43a9e1195</t>
  </si>
  <si>
    <t xml:space="preserve">d39518bb-2302-4475-b834-2e8847667d92</t>
  </si>
  <si>
    <t xml:space="preserve">63be7cbc-2995-4194-9953-6b7a505d03cc</t>
  </si>
  <si>
    <t xml:space="preserve">2ae7aa25-609e-4602-9995-843e5262c123</t>
  </si>
  <si>
    <t xml:space="preserve">bde92ada-9642-4611-9083-16d335c1d5cd</t>
  </si>
  <si>
    <t xml:space="preserve">3ed66131-41c9-4347-9233-b360f0cd4a82</t>
  </si>
  <si>
    <t xml:space="preserve">1c0bde8d-ef43-48e8-bfd1-abaed0bac341</t>
  </si>
  <si>
    <t xml:space="preserve">b17b0e9a-be70-4ea1-9a63-a5ac36c6c167</t>
  </si>
  <si>
    <t xml:space="preserve">98cdd59d-7352-4064-8c10-d79ac4fa119e</t>
  </si>
  <si>
    <t xml:space="preserve">f3203e2f-606b-4a8c-8744-a3f2209b0283</t>
  </si>
  <si>
    <t xml:space="preserve">8027e69d-f036-457b-81d9-b207d679b15b</t>
  </si>
  <si>
    <t xml:space="preserve">aca4784e-7427-470d-9664-f01136c267aa</t>
  </si>
  <si>
    <t xml:space="preserve">778522b2-b914-404b-9229-0d42ded64bd8</t>
  </si>
  <si>
    <t xml:space="preserve">4cdb08eb-54a3-49cd-b2cc-bf61ea059edb</t>
  </si>
  <si>
    <t xml:space="preserve">69add558-0256-4712-b0ae-a306b0f392dd</t>
  </si>
  <si>
    <t xml:space="preserve">9c757a28-da5d-4b12-a423-509b7c6d839b</t>
  </si>
  <si>
    <t xml:space="preserve">610f533d-49ad-4ff9-9823-a2f9a307d1a5</t>
  </si>
  <si>
    <t xml:space="preserve">04d4bd2a-3cb7-4661-9f55-e82a6adea951</t>
  </si>
  <si>
    <t xml:space="preserve">a2b257c3-27ba-444a-8af3-0c7a7d3ebe2e</t>
  </si>
  <si>
    <t xml:space="preserve">cf0de85b-7a41-4016-a429-df72fb8a53a1</t>
  </si>
  <si>
    <t xml:space="preserve">aac9fadb-6a68-4d82-9bd3-0aa15bd9fe0d</t>
  </si>
  <si>
    <t xml:space="preserve">ff922fad-31c4-42bc-ab03-518ef0848e1e</t>
  </si>
  <si>
    <t xml:space="preserve">e691e89a-3570-4182-afa6-3f46523d29a6</t>
  </si>
  <si>
    <t xml:space="preserve">66eda6eb-d144-4cb7-8006-ac47b9a7b269</t>
  </si>
  <si>
    <t xml:space="preserve">3bad5a9a-6bf7-4e6a-a8a5-a1f99d9114a7</t>
  </si>
  <si>
    <t xml:space="preserve">19ec4a01-a4e1-4654-b90d-bcb57941009a</t>
  </si>
  <si>
    <t xml:space="preserve">acc3d90c-d417-4bd9-b11a-210a68b13875</t>
  </si>
  <si>
    <t xml:space="preserve">1bffa341-4e54-46e4-8d42-faeea957329a</t>
  </si>
  <si>
    <t xml:space="preserve">cd88e211-bf29-46dd-a626-112804b1b7bf</t>
  </si>
  <si>
    <t xml:space="preserve">fe84423c-1d9c-4491-ab48-9ba1d0b6dcba</t>
  </si>
  <si>
    <t xml:space="preserve">757ad367-d907-439e-a2eb-8dc4e34e7027</t>
  </si>
  <si>
    <t xml:space="preserve">2b944896-8b2e-4fca-a5b5-8cecfd5d09e2</t>
  </si>
  <si>
    <t xml:space="preserve">055566a5-2056-4d84-ac32-ea37fc4b7fab</t>
  </si>
  <si>
    <t xml:space="preserve">70b58b3d-188b-4815-b9ee-475391795449</t>
  </si>
  <si>
    <t xml:space="preserve">897c0453-914f-4e8d-8a7a-b35bef25cb95</t>
  </si>
  <si>
    <t xml:space="preserve">3e7a3b70-ca6b-4c0b-b8fd-8ec8bdf6c180</t>
  </si>
  <si>
    <t xml:space="preserve">a7ad2834-16e2-4b8e-8226-3e8b1270eb55</t>
  </si>
  <si>
    <t xml:space="preserve">b72db8ec-7ada-4621-b78b-cc2469643102</t>
  </si>
  <si>
    <t xml:space="preserve">95bd9299-1e12-418a-a91f-07045d546d74</t>
  </si>
  <si>
    <t xml:space="preserve">03895d0c-07f2-40dd-9750-17eb3f16edcf</t>
  </si>
  <si>
    <t xml:space="preserve">c9001e71-fb2f-4ab6-9fca-eec3c91f11f2</t>
  </si>
  <si>
    <t xml:space="preserve">cbabdaa0-facf-47a0-8a16-081e25a448f9</t>
  </si>
  <si>
    <t xml:space="preserve">cc9abc1c-ba13-40e0-a25f-56976311c650</t>
  </si>
  <si>
    <t xml:space="preserve">54631b3b-154d-49b4-a3dd-319544577400</t>
  </si>
  <si>
    <t xml:space="preserve">fe7120ea-7e94-4484-9702-b342138e4826</t>
  </si>
  <si>
    <t xml:space="preserve">8f1d4dc1-b7e4-4dcb-9bc9-d10ecf48898d</t>
  </si>
  <si>
    <t xml:space="preserve">f4933758-0cde-4918-9eca-13ea0970f8eb</t>
  </si>
  <si>
    <t xml:space="preserve">63b5922b-6452-42ff-9d18-2666e48c1b03</t>
  </si>
  <si>
    <t xml:space="preserve">40fa9d04-51f5-4976-bef6-b4b9ad2768ea</t>
  </si>
  <si>
    <t xml:space="preserve">887f0a55-a159-4fc5-a24b-a73a205568f5</t>
  </si>
  <si>
    <t xml:space="preserve">be846b05-62cc-4541-a105-5464aff5c81f</t>
  </si>
  <si>
    <t xml:space="preserve">f79a7c62-cab2-4cf2-a4f4-0c510f82a0be</t>
  </si>
  <si>
    <t xml:space="preserve">7d15b206-2273-4e4e-8d7f-8c1e152b6194</t>
  </si>
  <si>
    <t xml:space="preserve">f716b08e-2895-40c4-a28d-8e8b2c901cb6</t>
  </si>
  <si>
    <t xml:space="preserve">3212d029-80bd-46e2-a627-b9159a790bfb</t>
  </si>
  <si>
    <t xml:space="preserve">ad734c0b-e8b9-4ddb-88a1-a145feb3b494</t>
  </si>
  <si>
    <t xml:space="preserve">b6f5ea29-ec6b-4c32-bb4e-5316b445276e</t>
  </si>
  <si>
    <t xml:space="preserve">c63874ec-4713-4da0-8f37-6c2a20c49026</t>
  </si>
  <si>
    <t xml:space="preserve">b2556530-f21f-4853-80d3-9d7bf356511d</t>
  </si>
  <si>
    <t xml:space="preserve">2508aa68-947c-46b8-a5d7-91f90bd4b06e</t>
  </si>
  <si>
    <t xml:space="preserve">5924182e-6f90-42e0-945a-f1e7ed002a32</t>
  </si>
  <si>
    <t xml:space="preserve">04593a04-3c94-4e8b-abc2-b8446cb7103b</t>
  </si>
  <si>
    <t xml:space="preserve">6e83d514-b8a0-45c3-9097-97bd4d86381e</t>
  </si>
  <si>
    <t xml:space="preserve">0f093c81-55ae-4ef7-899a-ceb625168378</t>
  </si>
  <si>
    <t xml:space="preserve">9837929b-99eb-43cb-b27f-38790bb8e35b</t>
  </si>
  <si>
    <t xml:space="preserve">82577442-525e-40e9-ae98-707dfdc1ac8c</t>
  </si>
  <si>
    <t xml:space="preserve">43957a52-9d09-45e5-a75a-d72b28edbb25</t>
  </si>
  <si>
    <t xml:space="preserve">3ff6da8b-1d5d-4a4f-83e1-c592d55d769f</t>
  </si>
  <si>
    <t xml:space="preserve">afe535ef-0ff4-4d68-8820-4f2ef60c8c0f</t>
  </si>
  <si>
    <t xml:space="preserve">180cbeab-ae78-42b8-adb6-43eccfc62dc4</t>
  </si>
  <si>
    <t xml:space="preserve">90c1d6df-0b19-477f-8b04-ad93f87d07db</t>
  </si>
  <si>
    <t xml:space="preserve">018759e1-99f2-4cea-ad4c-3da66a1d43e8</t>
  </si>
  <si>
    <t xml:space="preserve">efb628a5-0daf-4f11-b92d-398ed71d99c2</t>
  </si>
  <si>
    <t xml:space="preserve">f3cbb006-4df2-4a47-9693-a5108a5cdcdf</t>
  </si>
  <si>
    <t xml:space="preserve">f4a3355a-4726-4f7a-8616-8c62302c0c58</t>
  </si>
  <si>
    <t xml:space="preserve">dbd41d65-9480-4202-81df-d9b80a52b7ae</t>
  </si>
  <si>
    <t xml:space="preserve">5254c149-b1d6-4c70-8b47-fdb4bc4513b3</t>
  </si>
  <si>
    <t xml:space="preserve">c008a1c3-d153-464f-ba86-a3c2aad069ad</t>
  </si>
  <si>
    <t xml:space="preserve">2c70c769-9e18-4699-bdae-c99e98901616</t>
  </si>
  <si>
    <t xml:space="preserve">096480d3-c07d-410c-b50c-4a2aa4099394</t>
  </si>
  <si>
    <t xml:space="preserve">c6b0c748-7af2-4fe5-b35b-91a194b59fde</t>
  </si>
  <si>
    <t xml:space="preserve">0743ebe5-68f4-42c6-ad47-de0c9bf3e5ce</t>
  </si>
  <si>
    <t xml:space="preserve">9ae659f9-d8d0-4462-ae4c-7c9e5fbffbb3</t>
  </si>
  <si>
    <t xml:space="preserve">b4f39043-cb14-46d2-91c4-f9fc9e4c3cfa</t>
  </si>
  <si>
    <t xml:space="preserve">40f1757b-7b76-48d2-9731-6db26d5e6464</t>
  </si>
  <si>
    <t xml:space="preserve">367fa620-1225-489b-a57b-caef03125ec8</t>
  </si>
  <si>
    <t xml:space="preserve">516f904d-8d6d-45b3-8c9d-20a45aa72926</t>
  </si>
  <si>
    <t xml:space="preserve">9e5a6f0e-f96a-45e4-8a54-e5d1614d7050</t>
  </si>
  <si>
    <t xml:space="preserve">9915b906-95ee-4a7d-914b-ef228fed0604</t>
  </si>
  <si>
    <t xml:space="preserve">b8388814-44eb-4fea-8d01-f1b09abc0531</t>
  </si>
  <si>
    <t xml:space="preserve">97989cd1-682b-4661-8331-281a174d902c</t>
  </si>
  <si>
    <t xml:space="preserve">526591bb-e8cb-40ea-91f9-64e0a9f640c6</t>
  </si>
  <si>
    <t xml:space="preserve">2edc7108-117b-4f03-8996-5a15e406e602</t>
  </si>
  <si>
    <t xml:space="preserve">5a856772-b863-4d3a-9668-8ee6021520f0</t>
  </si>
  <si>
    <t xml:space="preserve">8678b069-6bcd-466b-977f-8a021c1e9d22</t>
  </si>
  <si>
    <t xml:space="preserve">1398220b-6f2a-4e07-949b-e2de2e8593b5</t>
  </si>
  <si>
    <t xml:space="preserve">f871fa90-4f89-4d2f-9718-608999bc9104</t>
  </si>
  <si>
    <t xml:space="preserve">2b3fb879-0947-478e-a0f3-82064d6db0b8</t>
  </si>
  <si>
    <t xml:space="preserve">d57cc1ff-3845-47e1-92cc-1d594fbd15b4</t>
  </si>
  <si>
    <t xml:space="preserve">3b17b6b0-9bec-48a4-8065-723d10417ea2</t>
  </si>
  <si>
    <t xml:space="preserve">98fe36cb-0ff6-469a-a09c-595a08b82a31</t>
  </si>
  <si>
    <t xml:space="preserve">885c95f7-f2d9-4feb-bcdd-7ec53ea00c0c</t>
  </si>
  <si>
    <t xml:space="preserve">ae2c0a07-4fb0-41ba-83fa-cd79ffc5c21a</t>
  </si>
  <si>
    <t xml:space="preserve">0135ee36-ca89-49ed-bb9f-dfe7d1e6e602</t>
  </si>
  <si>
    <t xml:space="preserve">4616556d-d977-4d63-b165-cdc6db331baa</t>
  </si>
  <si>
    <t xml:space="preserve">f93fc486-820c-4bab-997e-77680640dadf</t>
  </si>
  <si>
    <t xml:space="preserve">9cd4095d-ae94-46e1-b4ec-483ae3bcdc86</t>
  </si>
  <si>
    <t xml:space="preserve">2177cc9c-f03f-4cf9-8674-eec51477a06b</t>
  </si>
  <si>
    <t xml:space="preserve">63d0748e-43c6-422c-a10a-042e5d6f0dc2</t>
  </si>
  <si>
    <t xml:space="preserve">677c188b-8040-4a0e-8513-037b77effe6d</t>
  </si>
  <si>
    <t xml:space="preserve">f5fbbb0d-b4d9-472e-bab3-7219a8298e09</t>
  </si>
  <si>
    <t xml:space="preserve">89e6fae2-82c4-451b-8de4-37cd40797ba3</t>
  </si>
  <si>
    <t xml:space="preserve">b31cf79f-4ba4-4c5e-9d99-c9c9dd2dc68f</t>
  </si>
  <si>
    <t xml:space="preserve">736f5b3d-ce75-4eb4-836a-d175af3e4947</t>
  </si>
  <si>
    <t xml:space="preserve">187d6f79-f5f4-406a-a481-dab2223f9c24</t>
  </si>
  <si>
    <t xml:space="preserve">9be69895-8a68-4cb7-aea0-51f982318497</t>
  </si>
  <si>
    <t xml:space="preserve">774e188a-8c12-4158-9464-75dee0b390f1</t>
  </si>
  <si>
    <t xml:space="preserve">55e12ae1-97a1-42dd-bfa4-c86e68363e0e</t>
  </si>
  <si>
    <t xml:space="preserve">7cb6e3b0-81cb-49e3-97f4-2b906377f237</t>
  </si>
  <si>
    <t xml:space="preserve">f18a0063-b63c-48d7-aa1d-f4ad71d3eea4</t>
  </si>
  <si>
    <t xml:space="preserve">13cca916-9bfd-410b-b1f5-68d25651788f</t>
  </si>
  <si>
    <t xml:space="preserve">c8a53d68-bf31-4ac7-a252-36e0e477bcf2</t>
  </si>
  <si>
    <t xml:space="preserve">99ccea7d-1cc4-467f-a487-0c4d7c69dde1</t>
  </si>
  <si>
    <t xml:space="preserve">6ed49468-ae90-40c0-88a3-7c139b1fe02b</t>
  </si>
  <si>
    <t xml:space="preserve">65030889-83eb-4cb9-96a4-1b47afdb7f97</t>
  </si>
  <si>
    <t xml:space="preserve">3b7acba1-2e5b-4642-9b6f-0e0e981b7d23</t>
  </si>
  <si>
    <t xml:space="preserve">6e0890bc-1b6b-4585-9b71-1ee6f41e47ff</t>
  </si>
  <si>
    <t xml:space="preserve">6040f741-c435-4c3d-b495-d9ce9f9bd733</t>
  </si>
  <si>
    <t xml:space="preserve">0118309f-0ab7-4b3f-b519-9b0771aa9c0f</t>
  </si>
  <si>
    <t xml:space="preserve">78a37d5f-6e98-48dd-a6cd-fc6488aaf3f4</t>
  </si>
  <si>
    <t xml:space="preserve">286447ce-3ebf-4745-8e38-70b7d82a7e53</t>
  </si>
  <si>
    <t xml:space="preserve">b7fc81fc-d938-4951-b85d-d2069f79a4e8</t>
  </si>
  <si>
    <t xml:space="preserve">fbc71d8a-4c72-4fb6-886c-61a09a05d475</t>
  </si>
  <si>
    <t xml:space="preserve">4df1dec8-6eb0-4bd1-99a3-b35ac0306b2b</t>
  </si>
  <si>
    <t xml:space="preserve">a6aaa874-55a0-419e-a0b7-45a397749df1</t>
  </si>
  <si>
    <t xml:space="preserve">a7cc75ba-ca64-495c-9893-c834e393d01f</t>
  </si>
  <si>
    <t xml:space="preserve">d90d3480-5a96-49af-8f94-4e6627aa81bc</t>
  </si>
  <si>
    <t xml:space="preserve">c56b1e05-49d1-474e-aadd-bc236ef543f1</t>
  </si>
  <si>
    <t xml:space="preserve">8bbd39e5-1860-4183-b53f-fa843fce1a83</t>
  </si>
  <si>
    <t xml:space="preserve">dff2065d-4b39-494b-9972-38baa9660b44</t>
  </si>
  <si>
    <t xml:space="preserve">fd1e7f1e-98e8-4804-8e23-578f428fc307</t>
  </si>
  <si>
    <t xml:space="preserve">189bb380-353d-41a4-bbbe-8e76aaeca573</t>
  </si>
  <si>
    <t xml:space="preserve">e2f9acd8-e95f-403a-a838-8e8a34b0e5a6</t>
  </si>
  <si>
    <t xml:space="preserve">c7521c2a-3000-4a9c-b8aa-2b0a033ae205</t>
  </si>
  <si>
    <t xml:space="preserve">195ca571-68ff-4c5c-9bee-53eec3d5e8b4</t>
  </si>
  <si>
    <t xml:space="preserve">d258c0e4-591a-4121-a160-908af99e525c</t>
  </si>
  <si>
    <t xml:space="preserve">f448fcb0-ec1e-4538-894e-8311cef3eb04</t>
  </si>
  <si>
    <t xml:space="preserve">c06cbbf2-cfc1-4ae5-97cd-0886cfea3739</t>
  </si>
  <si>
    <t xml:space="preserve">40df82bb-25cf-4d7a-9e9d-64d0f4e41b36</t>
  </si>
  <si>
    <t xml:space="preserve">269c4dbd-75c6-41df-a67f-c6a260aa7517</t>
  </si>
  <si>
    <t xml:space="preserve">e431c47d-5eb8-4f15-a0f2-0de5e9532552</t>
  </si>
  <si>
    <t xml:space="preserve">a5103248-c3f3-425d-8011-b0963e0acbbd</t>
  </si>
  <si>
    <t xml:space="preserve">75c81688-dc2c-46d3-b18d-cf1ef7342e83</t>
  </si>
  <si>
    <t xml:space="preserve">04fc282d-a0fe-4ba5-91e0-9eb19e5b9147</t>
  </si>
  <si>
    <t xml:space="preserve">1992c1f3-7d3d-46d7-b283-e816a75496b5</t>
  </si>
  <si>
    <t xml:space="preserve">42b8c1c2-f0d0-4e78-a379-a2f3ac36379a</t>
  </si>
  <si>
    <t xml:space="preserve">380eebc8-fccf-40f2-9df7-b6e3554eefdb</t>
  </si>
  <si>
    <t xml:space="preserve">c8721d18-fa88-4472-aa15-17771db299ca</t>
  </si>
  <si>
    <t xml:space="preserve">06189968-4f7c-499f-8ba8-14c57bc821e8</t>
  </si>
  <si>
    <t xml:space="preserve">2c97a17f-c84e-4805-9952-8160a9d375fb</t>
  </si>
  <si>
    <t xml:space="preserve">054dd802-4704-4755-9908-b210f343c579</t>
  </si>
  <si>
    <t xml:space="preserve">26de106d-e0da-4de7-befd-268290f414ba</t>
  </si>
  <si>
    <t xml:space="preserve">e8bbaf64-4651-4d03-9330-c902090a94e6</t>
  </si>
  <si>
    <t xml:space="preserve">bfe1c6b0-76e4-4f0d-a38f-7928a46cf910</t>
  </si>
  <si>
    <t xml:space="preserve">693fa915-c919-45a2-9d48-32f9ae3c0bae</t>
  </si>
  <si>
    <t xml:space="preserve">8953721d-805a-46e2-9f4c-cc12a5e8b886</t>
  </si>
  <si>
    <t xml:space="preserve">8d752944-7d3d-4117-8917-690a0ba6a10b</t>
  </si>
  <si>
    <t xml:space="preserve">38d814c7-147c-445d-befc-0761f18277a8</t>
  </si>
  <si>
    <t xml:space="preserve">3149668d-7f8e-40e6-a4a2-dc3a202ee25e</t>
  </si>
  <si>
    <t xml:space="preserve">84a1a536-764a-4b82-9ad9-473ffececb46</t>
  </si>
  <si>
    <t xml:space="preserve">fa71e8cb-d010-4d02-ac11-ab297617f30d</t>
  </si>
  <si>
    <t xml:space="preserve">7bb634ed-ecec-4870-b7cd-754ebbba1622</t>
  </si>
  <si>
    <t xml:space="preserve">9b310d6c-a6b2-4c1e-8056-d0b21460a17b</t>
  </si>
  <si>
    <t xml:space="preserve">street</t>
  </si>
  <si>
    <t xml:space="preserve">street_number</t>
  </si>
  <si>
    <t xml:space="preserve">postal_code</t>
  </si>
  <si>
    <t xml:space="preserve">city</t>
  </si>
  <si>
    <t xml:space="preserve">country</t>
  </si>
  <si>
    <t xml:space="preserve">Adolf Würth GmbH &amp; Co. KG</t>
  </si>
  <si>
    <t xml:space="preserve">The Würth Group is a leader in the development, manufacture, and distribution of assembly and fastening materials. The globally active family-owned company, headquartered in Künzelsau, Germany, comprises over 400 subsidiaries with over 2,800 branches in 80 countries.</t>
  </si>
  <si>
    <t xml:space="preserve">Reinhold-Würth-Straße</t>
  </si>
  <si>
    <t xml:space="preserve">Künzelsau-Gaisbach</t>
  </si>
  <si>
    <t xml:space="preserve">Deutschland</t>
  </si>
  <si>
    <t xml:space="preserve">bf0746cd-2e6c-4468-9538-0854b1bd9d06</t>
  </si>
  <si>
    <t xml:space="preserve">Robert Bosch GmbH</t>
  </si>
  <si>
    <t xml:space="preserve">The Bosch Group is a leading international supplier of technology and services with approximately 418,000 associates worldwide (as of December 31, 2024).</t>
  </si>
  <si>
    <t xml:space="preserve">Robert-Bosch-Platz</t>
  </si>
  <si>
    <t xml:space="preserve">Gerlingen-Schillerhöhe</t>
  </si>
  <si>
    <t xml:space="preserve">f6e7fa76-e9f0-40d4-88d0-faba2831f6d8</t>
  </si>
  <si>
    <t xml:space="preserve">ALSADO Inh. Aleksander Sadowski</t>
  </si>
  <si>
    <t xml:space="preserve">ALSADO is a small company in Sankt Augustin in Germany, which specializes in CAD and PDM/PLM software development. Recetnly ALSADO is also entering the hardward manufacturing market with its innovative fastening solution for safery applications.</t>
  </si>
  <si>
    <t xml:space="preserve">Liebfrauenstraße</t>
  </si>
  <si>
    <t xml:space="preserve">Sankt Augustin</t>
  </si>
  <si>
    <t xml:space="preserve">ec6514ad-e6eb-4181-9757-e34571fbdb1d</t>
  </si>
  <si>
    <t xml:space="preserve">Xometry Europe GmbH</t>
  </si>
  <si>
    <t xml:space="preserve">Xometry’s (NASDAQ: XMTR) AI-powered marketplace and suite of cloud-based services are rapidly digitising the manufacturing industry.</t>
  </si>
  <si>
    <t xml:space="preserve">Ada-Lovelace-Straße</t>
  </si>
  <si>
    <t xml:space="preserve">Ottobrunn</t>
  </si>
  <si>
    <t xml:space="preserve">25a21235-6c6b-4878-8716-5ea914db9d75</t>
  </si>
  <si>
    <t xml:space="preserve">Maschinenbau Kitz GmbH</t>
  </si>
  <si>
    <t xml:space="preserve">Maschinenbau Kitz GmbH, founded in 1966 in Troisdorf near Bonn, Germany, is the parent company of the mk Technology Group, a leading provider of modular systems for factory automation, specializing in aluminum profile systems, conveyor technology, and custom engineering solutions for various industries.</t>
  </si>
  <si>
    <t xml:space="preserve">Ampèrestraße</t>
  </si>
  <si>
    <t xml:space="preserve">18</t>
  </si>
  <si>
    <t xml:space="preserve">53844</t>
  </si>
  <si>
    <t xml:space="preserve">Troisdorf</t>
  </si>
  <si>
    <t xml:space="preserve">2f6a25b9-b96c-4135-b468-737c9e7ee1a6</t>
  </si>
  <si>
    <t xml:space="preserve">27b96fd9-1b69-4009-91ea-67bdb650a0a1</t>
  </si>
  <si>
    <t xml:space="preserve">f869e1ed-2d68-4f61-bf59-c7d18844d6d5</t>
  </si>
  <si>
    <t xml:space="preserve">d649381b-b6a9-4b83-9641-90ed071e0ff7</t>
  </si>
  <si>
    <t xml:space="preserve">c92efca7-d5d8-47c4-abc9-1b61a0edcd98</t>
  </si>
  <si>
    <t xml:space="preserve">2b4e8ca6-ce77-4ceb-98f5-5c0fa12a7841</t>
  </si>
  <si>
    <t xml:space="preserve">aa1044c2-6806-48db-8d2e-6b81852d53cc</t>
  </si>
  <si>
    <t xml:space="preserve">d4b3e26d-474f-482b-b856-1942fe0feef1</t>
  </si>
  <si>
    <t xml:space="preserve">34fa6f8b-1235-44a0-b52b-8988d9ad2e65</t>
  </si>
  <si>
    <t xml:space="preserve">0776124a-ac7a-422e-955d-f8f6024a7180</t>
  </si>
  <si>
    <t xml:space="preserve">1dfabe57-5007-4706-bec2-5504f0e2102a</t>
  </si>
  <si>
    <t xml:space="preserve">3cfa69c7-9fac-4d1d-b76b-88f95c5ba8e0</t>
  </si>
  <si>
    <t xml:space="preserve">1fdee1f5-1fbf-488b-8f5e-de8fa686710e</t>
  </si>
  <si>
    <t xml:space="preserve">55186d43-74f8-40de-a94e-50f84583e585</t>
  </si>
  <si>
    <t xml:space="preserve">aad3a56d-b9ac-4c45-914a-d2f3f26b7854</t>
  </si>
  <si>
    <t xml:space="preserve">0237a8e5-40ca-4d98-a5ad-0ff7cbbda8d7</t>
  </si>
  <si>
    <t xml:space="preserve">f5e9a563-4378-4c6e-b06c-0c8dd15f17f5</t>
  </si>
  <si>
    <t xml:space="preserve">cacb4775-cd6c-413c-8d3a-a692e5c5dd50</t>
  </si>
  <si>
    <t xml:space="preserve">ab435c8d-6c4c-45ea-9bdb-e9e4794cb8f3</t>
  </si>
  <si>
    <t xml:space="preserve">04c6179d-7de7-42cf-9ea1-ecc5949d34d4</t>
  </si>
  <si>
    <t xml:space="preserve">957c71c7-d611-430d-a78e-2512f5c8316e</t>
  </si>
  <si>
    <t xml:space="preserve">b975eb2a-0f2f-4c3d-8a89-1947757b6e7b</t>
  </si>
  <si>
    <t xml:space="preserve">e9bd1f5f-451d-4afe-8a87-fc05449b011b</t>
  </si>
  <si>
    <t xml:space="preserve">490f5775-65db-4e57-86e0-08f2b246dd1e</t>
  </si>
  <si>
    <t xml:space="preserve">40ca4d3a-72a3-4a81-b43c-6077c24905ab</t>
  </si>
  <si>
    <t xml:space="preserve">a5a4590d-7670-4cf1-9403-4bc2dfa79ff8</t>
  </si>
  <si>
    <t xml:space="preserve">dcfaf9ac-a440-4ef5-93d4-f3209e2d329a</t>
  </si>
  <si>
    <t xml:space="preserve">15b3b744-2f32-41c8-8a55-1ff485104f55</t>
  </si>
  <si>
    <t xml:space="preserve">aaff5d2c-ff21-4290-906e-2d37e4d3c43f</t>
  </si>
  <si>
    <t xml:space="preserve">e7fb5f4d-b5c4-4367-a097-83a72a3a3d8b</t>
  </si>
  <si>
    <t xml:space="preserve">0d9cdc57-3b59-4f76-aa22-047acfafb4d4</t>
  </si>
  <si>
    <t xml:space="preserve">e94448a8-4ac9-4fce-9578-5be4d584edc8</t>
  </si>
  <si>
    <t xml:space="preserve">b1899877-bd49-4018-92f9-2c00f7aad1de</t>
  </si>
  <si>
    <t xml:space="preserve">02802aa7-66fd-4cdf-a440-00e3d856599d</t>
  </si>
  <si>
    <t xml:space="preserve">c673b3b3-29e4-47df-9e9d-a9911c6e1ae8</t>
  </si>
  <si>
    <t xml:space="preserve">Mechanical Components; Includes all physical, non-electrical parts used in assemblies (e.g. brackets, frames, fasteners, gears, shafts, bearings, housings, springs).</t>
  </si>
  <si>
    <t xml:space="preserve">ELEC</t>
  </si>
  <si>
    <t xml:space="preserve">Electrical/Electronic Components; Includes all parts that carry or control electrical signals (e.g. PCBs, wiring harnesses, connectors, sensors, switches, motors, actuators).</t>
  </si>
  <si>
    <t xml:space="preserve">SW</t>
  </si>
  <si>
    <t xml:space="preserve">Software/Firmware; Includes control software, embedded firmware, and other digital configurations used in products.</t>
  </si>
  <si>
    <t xml:space="preserve">Standard/Commercial Off-The-Shelf Components; Includes commonly available items sourced from suppliers (e.g. fasteners, bearings, resistors, capacitors, relays).</t>
  </si>
  <si>
    <t xml:space="preserve">MAT</t>
  </si>
  <si>
    <t xml:space="preserve">Raw Materials; Includes unprocessed materials used in production (e.g. sheet metal, plastics, aluminum profiles, rubber, chemicals).</t>
  </si>
  <si>
    <t xml:space="preserve">TFC</t>
  </si>
  <si>
    <t xml:space="preserve">Tools, Fixtures, and Consumables; Includes items used in manufacturing or maintenance that do not become part of the finished product (e.g. jigs, fixtures, hand tools, lubricants, cutting fluids).</t>
  </si>
  <si>
    <t xml:space="preserve">PKG</t>
  </si>
  <si>
    <t xml:space="preserve">Packaging and Shipping Materials; Includes materials used to store, protect, or ship products (e.g. boxes, pallets, bubble wrap, labels).</t>
  </si>
  <si>
    <t xml:space="preserve">VAT</t>
  </si>
  <si>
    <t xml:space="preserve">assembly cost (hourly rate)</t>
  </si>
  <si>
    <t xml:space="preserve">unit_assembly_time</t>
  </si>
  <si>
    <t xml:space="preserve">Aleksander Sadowski | Liebfrauenstraße 31 | 53757 Sankt Augustin</t>
  </si>
  <si>
    <t xml:space="preserve">Mustermann GmbH</t>
  </si>
  <si>
    <t xml:space="preserve">Musterstraße 17</t>
  </si>
  <si>
    <t xml:space="preserve">123456 Musterstadt</t>
  </si>
  <si>
    <t xml:space="preserve">Musterland</t>
  </si>
  <si>
    <t xml:space="preserve">Angebots-Nr.: </t>
  </si>
  <si>
    <t xml:space="preserve">Kundennummer: </t>
  </si>
  <si>
    <t xml:space="preserve">Angebotsdatum: </t>
  </si>
  <si>
    <t xml:space="preserve">Angebot</t>
  </si>
  <si>
    <t xml:space="preserve">Wir bedanken uns für das Interesse an unseren Dienstleistungen und möchten Ihnen folgendes Angebot unterbreiten:</t>
  </si>
  <si>
    <t xml:space="preserve">Pos. </t>
  </si>
  <si>
    <t xml:space="preserve">Bezeichnung </t>
  </si>
  <si>
    <t xml:space="preserve">Preis</t>
  </si>
  <si>
    <t xml:space="preserve">Total</t>
  </si>
  <si>
    <t xml:space="preserve">Der volle Betrag ist spätestens 30 Tage nach Lieferung auf das unten angegebene Konto zu überweisen.
Mit freundlichen Grüßen
Aleksander Sadowski</t>
  </si>
  <si>
    <t xml:space="preserve">bom_id</t>
  </si>
  <si>
    <t xml:space="preserve">number of components (total)</t>
  </si>
  <si>
    <t xml:space="preserve">cost of parts (total)</t>
  </si>
  <si>
    <t xml:space="preserve">assembly time (h)</t>
  </si>
  <si>
    <t xml:space="preserve">assembly cost (total)</t>
  </si>
  <si>
    <t xml:space="preserve">manufacturing cost (total)</t>
  </si>
  <si>
    <t xml:space="preserve">profit margin</t>
  </si>
  <si>
    <t xml:space="preserve">profit</t>
  </si>
  <si>
    <t xml:space="preserve">selling price (net)</t>
  </si>
  <si>
    <t xml:space="preserve">VAT rate</t>
  </si>
  <si>
    <t xml:space="preserve">VAT amount</t>
  </si>
  <si>
    <t xml:space="preserve">selling price (gross)</t>
  </si>
  <si>
    <t xml:space="preserve">00622a2a-0f53-454a-bd9b-1c2583f1ec92</t>
  </si>
  <si>
    <t xml:space="preserve">bom_00001</t>
  </si>
  <si>
    <t xml:space="preserve">Parts loader for EMCO F1 CNC</t>
  </si>
  <si>
    <t xml:space="preserve">c24212cb-f626-46d0-ac90-8dff482aae99</t>
  </si>
  <si>
    <t xml:space="preserve">bom_00002</t>
  </si>
  <si>
    <t xml:space="preserve">0934504c-b9aa-4453-91db-23d6e67012c1</t>
  </si>
  <si>
    <t xml:space="preserve">bom_00003</t>
  </si>
  <si>
    <t xml:space="preserve">0410c800-3ad3-4d11-a196-113cfcee60de</t>
  </si>
  <si>
    <t xml:space="preserve">bom_00004</t>
  </si>
  <si>
    <t xml:space="preserve">c7ad9d33-fdc4-40d6-8889-2ee80be2e70a</t>
  </si>
  <si>
    <t xml:space="preserve">bom_00005</t>
  </si>
  <si>
    <t xml:space="preserve">ad4c5d46-f534-426e-9c1d-d8eba03801b0</t>
  </si>
  <si>
    <t xml:space="preserve">bom_00006</t>
  </si>
  <si>
    <t xml:space="preserve">f3d739cf-66c1-472b-ad98-4dc71b76b0a9</t>
  </si>
  <si>
    <t xml:space="preserve">bom_00007</t>
  </si>
  <si>
    <t xml:space="preserve">6ab98022-da09-42af-8d10-e6698156b377</t>
  </si>
  <si>
    <t xml:space="preserve">bom_00008</t>
  </si>
  <si>
    <t xml:space="preserve">4f042b8b-b710-4a4e-9d7b-8e0eadc4ff1a</t>
  </si>
  <si>
    <t xml:space="preserve">bom_00009</t>
  </si>
  <si>
    <t xml:space="preserve">c0dab030-d18b-405a-a22f-c2621d058878</t>
  </si>
  <si>
    <t xml:space="preserve">bom_00010</t>
  </si>
  <si>
    <t xml:space="preserve">5ba67885-ee33-459d-914b-28bf02910f73</t>
  </si>
  <si>
    <t xml:space="preserve">bom_00011</t>
  </si>
  <si>
    <t xml:space="preserve">01e33197-68fd-46d1-8873-9a68c34e12fa</t>
  </si>
  <si>
    <t xml:space="preserve">bom_00012</t>
  </si>
  <si>
    <t xml:space="preserve">a4294605-8b79-4bf7-ba94-720ff256d2b4</t>
  </si>
  <si>
    <t xml:space="preserve">bom_00013</t>
  </si>
  <si>
    <t xml:space="preserve">fac734d7-d92e-4154-abf0-0bfec700d906</t>
  </si>
  <si>
    <t xml:space="preserve">bom_00014</t>
  </si>
  <si>
    <t xml:space="preserve">8f7dcb83-6106-4cbc-b43b-a41ebcf68764</t>
  </si>
  <si>
    <t xml:space="preserve">bom_00015</t>
  </si>
  <si>
    <t xml:space="preserve">0bcc1ad4-4e50-4746-9ff3-34fbfb68a90d</t>
  </si>
  <si>
    <t xml:space="preserve">bom_00016</t>
  </si>
  <si>
    <t xml:space="preserve">95f5dcda-a8a1-4ccb-9f99-6fde9efa88fc</t>
  </si>
  <si>
    <t xml:space="preserve">bom_00017</t>
  </si>
  <si>
    <t xml:space="preserve">8825543b-32a7-4320-9261-7ab6bb46ed87</t>
  </si>
  <si>
    <t xml:space="preserve">bom_00018</t>
  </si>
  <si>
    <t xml:space="preserve">3b9a16d1-66d9-4ea1-9903-71270a3d2fdf</t>
  </si>
  <si>
    <t xml:space="preserve">bom_00019</t>
  </si>
  <si>
    <t xml:space="preserve">c3f42620-ce5c-4f89-a04a-8ca4aa6611d6</t>
  </si>
  <si>
    <t xml:space="preserve">bom_00020</t>
  </si>
  <si>
    <t xml:space="preserve">f2a73c1b-6b19-4abb-a688-f22122514b69</t>
  </si>
  <si>
    <t xml:space="preserve">bom_00021</t>
  </si>
  <si>
    <t xml:space="preserve">f8a3aa72-6167-49f0-a0e7-fbaa99761dd9</t>
  </si>
  <si>
    <t xml:space="preserve">bom_00022</t>
  </si>
  <si>
    <t xml:space="preserve">ec958bff-0f47-427e-a0d6-17456748b56b</t>
  </si>
  <si>
    <t xml:space="preserve">bom_00023</t>
  </si>
  <si>
    <t xml:space="preserve">63c34b52-1afc-4259-b13f-457e001b7e48</t>
  </si>
  <si>
    <t xml:space="preserve">bom_00024</t>
  </si>
  <si>
    <t xml:space="preserve">400eb1a8-c80c-4c08-b715-8bccc9861d62</t>
  </si>
  <si>
    <t xml:space="preserve">bom_00025</t>
  </si>
  <si>
    <t xml:space="preserve">a742b74b-2413-45dc-afa6-f1b98e79d913</t>
  </si>
  <si>
    <t xml:space="preserve">bom_00026</t>
  </si>
  <si>
    <t xml:space="preserve">6d87c65e-0d40-4fca-bea5-cf4755fbe88a</t>
  </si>
  <si>
    <t xml:space="preserve">bom_00027</t>
  </si>
  <si>
    <t xml:space="preserve">86f8c0a7-8cd7-4b2d-b0cb-1af2c3ade902</t>
  </si>
  <si>
    <t xml:space="preserve">bom_00028</t>
  </si>
  <si>
    <t xml:space="preserve">8d44dce2-3f51-4fcf-8ead-5b42655f81a2</t>
  </si>
  <si>
    <t xml:space="preserve">bom_00029</t>
  </si>
  <si>
    <t xml:space="preserve">071e6df3-992a-4e40-ad62-77c072fe0aa8</t>
  </si>
  <si>
    <t xml:space="preserve">bom_00030</t>
  </si>
  <si>
    <t xml:space="preserve">6b711354-38e5-416b-91c0-d213bb0eafd5</t>
  </si>
  <si>
    <t xml:space="preserve">bom_00031</t>
  </si>
  <si>
    <t xml:space="preserve">d94fa4b6-19fc-4249-8d5a-c4d8a2652265</t>
  </si>
  <si>
    <t xml:space="preserve">bom_00032</t>
  </si>
  <si>
    <t xml:space="preserve">bae149af-ed1c-44e7-8e99-52085fc3eeec</t>
  </si>
  <si>
    <t xml:space="preserve">bom_00033</t>
  </si>
  <si>
    <t xml:space="preserve">4ba019c3-f8e8-4ec8-9e64-0e8ee7733a97</t>
  </si>
  <si>
    <t xml:space="preserve">bom_00034</t>
  </si>
  <si>
    <t xml:space="preserve">0a4f5e98-6f95-4f74-b979-77b791d93ea1</t>
  </si>
  <si>
    <t xml:space="preserve">bom_00035</t>
  </si>
  <si>
    <t xml:space="preserve">e061dbce-d8c0-41e2-aeba-6afb445fbccd</t>
  </si>
  <si>
    <t xml:space="preserve">bom_00036</t>
  </si>
  <si>
    <t xml:space="preserve">ee3a9db6-3674-4b9d-a01e-3760738cc1a3</t>
  </si>
  <si>
    <t xml:space="preserve">bom_00037</t>
  </si>
  <si>
    <t xml:space="preserve">36293184-a965-49a7-8394-b2b3440f2e7f</t>
  </si>
  <si>
    <t xml:space="preserve">bom_00038</t>
  </si>
  <si>
    <t xml:space="preserve">2254100b-840e-4d8d-868c-6ab17e7b1e9f</t>
  </si>
  <si>
    <t xml:space="preserve">bom_00039</t>
  </si>
  <si>
    <t xml:space="preserve">118c995e-7e90-49c3-bc65-9d9d2dbe97be</t>
  </si>
  <si>
    <t xml:space="preserve">bom_00040</t>
  </si>
  <si>
    <t xml:space="preserve">8cf0051d-8109-45e8-b27e-38293c2e539b</t>
  </si>
  <si>
    <t xml:space="preserve">bom_00041</t>
  </si>
  <si>
    <t xml:space="preserve">16f3f5ec-81ff-41e0-92ac-1621a084d7e7</t>
  </si>
  <si>
    <t xml:space="preserve">bom_00042</t>
  </si>
  <si>
    <t xml:space="preserve">d90848c4-d4b9-469e-8331-ba00308e757a</t>
  </si>
  <si>
    <t xml:space="preserve">bom_00043</t>
  </si>
  <si>
    <t xml:space="preserve">7939c6ef-7a62-4bcc-88a8-9c78d7243a65</t>
  </si>
  <si>
    <t xml:space="preserve">bom_00044</t>
  </si>
  <si>
    <t xml:space="preserve">d58cf73b-c659-4dc1-ba8b-548d3835366c</t>
  </si>
  <si>
    <t xml:space="preserve">bom_00045</t>
  </si>
  <si>
    <t xml:space="preserve">9db6f34f-c9c6-47ea-80fa-8b80b65acdbf</t>
  </si>
  <si>
    <t xml:space="preserve">bom_00046</t>
  </si>
  <si>
    <t xml:space="preserve">c272cc20-18d8-4ebf-bf39-732a81c8573b</t>
  </si>
  <si>
    <t xml:space="preserve">bom_00047</t>
  </si>
  <si>
    <t xml:space="preserve">d9f8cc00-cb0e-4cef-a268-a4f969668efa</t>
  </si>
  <si>
    <t xml:space="preserve">bom_00048</t>
  </si>
  <si>
    <t xml:space="preserve">f9b9348b-907f-4f85-a17c-41bb5da55d0f</t>
  </si>
  <si>
    <t xml:space="preserve">bom_00049</t>
  </si>
  <si>
    <t xml:space="preserve">0fdf3ef5-b972-43de-a172-b97e168a8c75</t>
  </si>
  <si>
    <t xml:space="preserve">bom_00050</t>
  </si>
  <si>
    <t xml:space="preserve">75be5911-05ab-4727-ae30-f0ea0fe336b4</t>
  </si>
  <si>
    <t xml:space="preserve">bom_00051</t>
  </si>
  <si>
    <t xml:space="preserve">0e9cb975-7e0d-4955-aeb0-b9df1309cee8</t>
  </si>
  <si>
    <t xml:space="preserve">bom_00052</t>
  </si>
  <si>
    <t xml:space="preserve">f4319f77-b4a3-489d-b734-5ac38800368a</t>
  </si>
  <si>
    <t xml:space="preserve">bom_00053</t>
  </si>
  <si>
    <t xml:space="preserve">1ee20045-bd0f-445e-ae86-8f1f02cfb0a2</t>
  </si>
  <si>
    <t xml:space="preserve">bom_00054</t>
  </si>
  <si>
    <t xml:space="preserve">8d513b80-c8e8-4295-9e2f-ee1f6419e96d</t>
  </si>
  <si>
    <t xml:space="preserve">bom_00055</t>
  </si>
  <si>
    <t xml:space="preserve">dee608f9-6258-4f75-9885-34f12304de28</t>
  </si>
  <si>
    <t xml:space="preserve">bom_00056</t>
  </si>
  <si>
    <t xml:space="preserve">fc2bdd51-0818-496d-88b2-f559766909e6</t>
  </si>
  <si>
    <t xml:space="preserve">bom_00057</t>
  </si>
  <si>
    <t xml:space="preserve">6c7b6e60-b922-4cdd-b24b-77950e928425</t>
  </si>
  <si>
    <t xml:space="preserve">bom_00058</t>
  </si>
  <si>
    <t xml:space="preserve">4d69a3b2-64cf-408d-ac6a-68a2462f639f</t>
  </si>
  <si>
    <t xml:space="preserve">bom_00059</t>
  </si>
  <si>
    <t xml:space="preserve">fa0fc037-667c-4d0b-a0af-7945e7b60bd6</t>
  </si>
  <si>
    <t xml:space="preserve">bom_00060</t>
  </si>
  <si>
    <t xml:space="preserve">4765dbf7-8081-4f5c-ba66-b175c96c33d5</t>
  </si>
  <si>
    <t xml:space="preserve">bom_00061</t>
  </si>
  <si>
    <t xml:space="preserve">5d8c6ce9-e380-4b1a-befe-9f60c0b1b116</t>
  </si>
  <si>
    <t xml:space="preserve">bom_00062</t>
  </si>
  <si>
    <t xml:space="preserve">61afb2e0-e67e-4892-b4f3-00a0ed1e5713</t>
  </si>
  <si>
    <t xml:space="preserve">bom_00063</t>
  </si>
  <si>
    <t xml:space="preserve">c54ccc04-d476-4a7b-90da-51524dd1668d</t>
  </si>
  <si>
    <t xml:space="preserve">bom_00064</t>
  </si>
  <si>
    <t xml:space="preserve">84561e65-de74-49fb-b4e3-6434b9a7d50a</t>
  </si>
  <si>
    <t xml:space="preserve">bom_00065</t>
  </si>
  <si>
    <t xml:space="preserve">cd4953bc-d965-44d9-b4ad-0e7d9b10e1aa</t>
  </si>
  <si>
    <t xml:space="preserve">bom_00066</t>
  </si>
  <si>
    <t xml:space="preserve">1e1bb809-e7d3-4764-a022-f013b896dab7</t>
  </si>
  <si>
    <t xml:space="preserve">bom_00067</t>
  </si>
  <si>
    <t xml:space="preserve">326bf611-42e1-43d8-b2a1-227ee087df0e</t>
  </si>
  <si>
    <t xml:space="preserve">bom_00068</t>
  </si>
  <si>
    <t xml:space="preserve">20b5d600-2798-42bb-81bd-3685efd4dd21</t>
  </si>
  <si>
    <t xml:space="preserve">bom_00069</t>
  </si>
  <si>
    <t xml:space="preserve">b1a57171-06cd-466d-9c99-1a4972098c52</t>
  </si>
  <si>
    <t xml:space="preserve">bom_00070</t>
  </si>
  <si>
    <t xml:space="preserve">f2ed9ede-71d1-413f-b4c2-69c11a7d8132</t>
  </si>
  <si>
    <t xml:space="preserve">bom_00071</t>
  </si>
  <si>
    <t xml:space="preserve">d9671534-dba8-45c7-afb4-7500b815f491</t>
  </si>
  <si>
    <t xml:space="preserve">bom_00072</t>
  </si>
  <si>
    <t xml:space="preserve">b0597a5a-27b0-46bb-8b13-a6c41a1b8099</t>
  </si>
  <si>
    <t xml:space="preserve">bom_00073</t>
  </si>
  <si>
    <t xml:space="preserve">784cdafd-76e7-4284-840f-29007cd97d6c</t>
  </si>
  <si>
    <t xml:space="preserve">bom_00074</t>
  </si>
  <si>
    <t xml:space="preserve">ef276db4-2c94-4ba8-8d0f-eb5f0d2b2f6e</t>
  </si>
  <si>
    <t xml:space="preserve">bom_00075</t>
  </si>
  <si>
    <t xml:space="preserve">6925824f-2987-4dfc-8126-4d540a2cad5d</t>
  </si>
  <si>
    <t xml:space="preserve">bom_00076</t>
  </si>
  <si>
    <t xml:space="preserve">dbcce717-dced-4eb0-be2b-68321f2e36bc</t>
  </si>
  <si>
    <t xml:space="preserve">bom_00077</t>
  </si>
  <si>
    <t xml:space="preserve">96d096d7-7f6c-46a9-a12f-cc7b081abd0c</t>
  </si>
  <si>
    <t xml:space="preserve">bom_00078</t>
  </si>
  <si>
    <t xml:space="preserve">5a8ac0c4-0c5c-46c4-acd4-2c152b99f126</t>
  </si>
  <si>
    <t xml:space="preserve">bom_00079</t>
  </si>
  <si>
    <t xml:space="preserve">a61b57ec-5da0-4385-97a4-1c21bc23c2bf</t>
  </si>
  <si>
    <t xml:space="preserve">bom_00080</t>
  </si>
  <si>
    <t xml:space="preserve">dd26dfc3-db72-49c8-be56-ae1c49863afd</t>
  </si>
  <si>
    <t xml:space="preserve">bom_00081</t>
  </si>
  <si>
    <t xml:space="preserve">c1feb57a-5299-467e-b3dd-78a50d4d7bed</t>
  </si>
  <si>
    <t xml:space="preserve">bom_00082</t>
  </si>
  <si>
    <t xml:space="preserve">5311e1f1-69da-4548-923f-02b0b325e6b9</t>
  </si>
  <si>
    <t xml:space="preserve">bom_00083</t>
  </si>
  <si>
    <t xml:space="preserve">fc292026-1db6-41c7-8f0b-f7b583d991f5</t>
  </si>
  <si>
    <t xml:space="preserve">bom_00084</t>
  </si>
  <si>
    <t xml:space="preserve">524f74cd-5b89-450c-b4d1-d955c1cc43d9</t>
  </si>
  <si>
    <t xml:space="preserve">bom_00085</t>
  </si>
  <si>
    <t xml:space="preserve">5d52aa0c-eaaf-42b1-b1ca-03e19297ad22</t>
  </si>
  <si>
    <t xml:space="preserve">bom_00086</t>
  </si>
  <si>
    <t xml:space="preserve">9f603736-d6d1-4001-ba18-16b50827bb12</t>
  </si>
  <si>
    <t xml:space="preserve">bom_00087</t>
  </si>
  <si>
    <t xml:space="preserve">80bb9a25-ebb8-4cc6-84ca-1cc70e8420a1</t>
  </si>
  <si>
    <t xml:space="preserve">bom_00088</t>
  </si>
  <si>
    <t xml:space="preserve">1f7e5c32-feee-478d-b257-b6dafdc2fecb</t>
  </si>
  <si>
    <t xml:space="preserve">bom_00089</t>
  </si>
  <si>
    <t xml:space="preserve">430341b9-1a51-4755-9553-a25c269e8962</t>
  </si>
  <si>
    <t xml:space="preserve">bom_00090</t>
  </si>
  <si>
    <t xml:space="preserve">d532fe91-c0e2-4006-8760-ca167e74445c</t>
  </si>
  <si>
    <t xml:space="preserve">bom_00091</t>
  </si>
  <si>
    <t xml:space="preserve">3039eadd-8ec8-417b-ab6a-41e9e7a356c3</t>
  </si>
  <si>
    <t xml:space="preserve">bom_00092</t>
  </si>
  <si>
    <t xml:space="preserve">009188e2-e636-44d1-a7fd-58b11113198e</t>
  </si>
  <si>
    <t xml:space="preserve">bom_00093</t>
  </si>
  <si>
    <t xml:space="preserve">56050498-b406-44a2-9e8f-49d43ec1e8b6</t>
  </si>
  <si>
    <t xml:space="preserve">bom_00094</t>
  </si>
  <si>
    <t xml:space="preserve">ecd36c5f-19f0-47db-aec7-5060aec7ad05</t>
  </si>
  <si>
    <t xml:space="preserve">bom_00095</t>
  </si>
  <si>
    <t xml:space="preserve">4948d684-8dcf-4b02-a8e5-73394203b74f</t>
  </si>
  <si>
    <t xml:space="preserve">bom_00096</t>
  </si>
  <si>
    <t xml:space="preserve">6821af1e-652f-491a-b339-4c1cb9a0d812</t>
  </si>
  <si>
    <t xml:space="preserve">bom_00097</t>
  </si>
  <si>
    <t xml:space="preserve">3598d401-e37a-4c00-8243-337782bcf30b</t>
  </si>
  <si>
    <t xml:space="preserve">bom_00098</t>
  </si>
  <si>
    <t xml:space="preserve">9d9433e0-1c27-4228-8ec2-0a41e195f79f</t>
  </si>
  <si>
    <t xml:space="preserve">bom_00099</t>
  </si>
  <si>
    <t xml:space="preserve">b3788385-9316-420d-bcbe-77bfd3a34b64</t>
  </si>
  <si>
    <t xml:space="preserve">bom_00100</t>
  </si>
  <si>
    <t xml:space="preserve">76083898-1145-47ca-8458-0953ae8221a3</t>
  </si>
  <si>
    <t xml:space="preserve">bom_00101</t>
  </si>
  <si>
    <t xml:space="preserve">12e01aa4-e21e-42e5-834c-482c92ab35a6</t>
  </si>
  <si>
    <t xml:space="preserve">bom_00102</t>
  </si>
  <si>
    <t xml:space="preserve">274149d0-4561-4c63-8883-d8aea69bb5a5</t>
  </si>
  <si>
    <t xml:space="preserve">bom_00103</t>
  </si>
  <si>
    <t xml:space="preserve">5c8b654d-0449-442d-96ef-fd64a0da5bab</t>
  </si>
  <si>
    <t xml:space="preserve">bom_00104</t>
  </si>
  <si>
    <t xml:space="preserve">35b3b4c2-8021-4967-bc92-5165081058de</t>
  </si>
  <si>
    <t xml:space="preserve">bom_00105</t>
  </si>
  <si>
    <t xml:space="preserve">d5a2a81f-9c0a-4e76-a857-942f2e9ba18b</t>
  </si>
  <si>
    <t xml:space="preserve">bom_00106</t>
  </si>
  <si>
    <t xml:space="preserve">f130f425-bf79-40ae-99d6-f27a7ceecec8</t>
  </si>
  <si>
    <t xml:space="preserve">bom_00107</t>
  </si>
  <si>
    <t xml:space="preserve">f3e32c6e-ff4e-4c81-8c06-f7a1bd887d97</t>
  </si>
  <si>
    <t xml:space="preserve">bom_00108</t>
  </si>
  <si>
    <t xml:space="preserve">b439cadf-c50f-467b-9212-f30b174f53e9</t>
  </si>
  <si>
    <t xml:space="preserve">bom_00109</t>
  </si>
  <si>
    <t xml:space="preserve">e2175038-8305-455b-840e-7d4c9d3355f0</t>
  </si>
  <si>
    <t xml:space="preserve">bom_00110</t>
  </si>
  <si>
    <t xml:space="preserve">1e6d0aab-55cd-410d-9d80-ad6c9ab85c50</t>
  </si>
  <si>
    <t xml:space="preserve">bom_00111</t>
  </si>
  <si>
    <t xml:space="preserve">9be2d2ac-2012-460c-9881-0a0cff9cac9e</t>
  </si>
  <si>
    <t xml:space="preserve">bom_00112</t>
  </si>
  <si>
    <t xml:space="preserve">8a938118-5f32-40af-ac05-2cab7253da8e</t>
  </si>
  <si>
    <t xml:space="preserve">bom_00113</t>
  </si>
  <si>
    <t xml:space="preserve">6ff426f2-011e-4d33-b52b-b71e35a8383d</t>
  </si>
  <si>
    <t xml:space="preserve">bom_00114</t>
  </si>
  <si>
    <t xml:space="preserve">96f067e2-d109-4a72-bc07-2cd7c34e944d</t>
  </si>
  <si>
    <t xml:space="preserve">bom_00115</t>
  </si>
  <si>
    <t xml:space="preserve">8fff8bb8-5551-40ef-91bf-78942d2b8712</t>
  </si>
  <si>
    <t xml:space="preserve">bom_00116</t>
  </si>
  <si>
    <t xml:space="preserve">92a560d6-3a52-4b8b-94dc-7b40a74c8ae3</t>
  </si>
  <si>
    <t xml:space="preserve">bom_00117</t>
  </si>
  <si>
    <t xml:space="preserve">a5ccb320-50de-4ff9-97c6-d544a155075a</t>
  </si>
  <si>
    <t xml:space="preserve">bom_00118</t>
  </si>
  <si>
    <t xml:space="preserve">dd2320cb-f217-4bfd-89e8-38eeb8bbdbf6</t>
  </si>
  <si>
    <t xml:space="preserve">bom_00119</t>
  </si>
  <si>
    <t xml:space="preserve">d8cdcc8c-f204-410e-9bf5-9087313728f3</t>
  </si>
  <si>
    <t xml:space="preserve">bom_00120</t>
  </si>
  <si>
    <t xml:space="preserve">2695e70f-3fb9-48f8-8625-d2e5138a55ba</t>
  </si>
  <si>
    <t xml:space="preserve">bom_00121</t>
  </si>
  <si>
    <t xml:space="preserve">82954b4a-ca47-4f99-957b-2d4282e2d236</t>
  </si>
  <si>
    <t xml:space="preserve">bom_00122</t>
  </si>
  <si>
    <t xml:space="preserve">bc430df7-e1c3-4dd3-adf5-fe49e626db08</t>
  </si>
  <si>
    <t xml:space="preserve">bom_00123</t>
  </si>
  <si>
    <t xml:space="preserve">81a45e00-f61a-4ccb-bbc5-634b1263a26f</t>
  </si>
  <si>
    <t xml:space="preserve">bom_00124</t>
  </si>
  <si>
    <t xml:space="preserve">61fe2f72-dd03-4ac0-920f-4d7d8ac97774</t>
  </si>
  <si>
    <t xml:space="preserve">bom_00125</t>
  </si>
  <si>
    <t xml:space="preserve">c28f46f3-9598-4fc5-af57-722ed40b5f0b</t>
  </si>
  <si>
    <t xml:space="preserve">bom_00126</t>
  </si>
  <si>
    <t xml:space="preserve">b7f08356-edeb-4a75-af10-8b24d963c718</t>
  </si>
  <si>
    <t xml:space="preserve">bom_00127</t>
  </si>
  <si>
    <t xml:space="preserve">64d50781-f326-4abc-b706-68cbb541cfa4</t>
  </si>
  <si>
    <t xml:space="preserve">bom_00128</t>
  </si>
  <si>
    <t xml:space="preserve">cc7a3eac-f7de-4ee7-b746-4c834c539f43</t>
  </si>
  <si>
    <t xml:space="preserve">bom_00129</t>
  </si>
  <si>
    <t xml:space="preserve">bf5d23d9-2311-4bf8-b47b-ab76d09d4465</t>
  </si>
  <si>
    <t xml:space="preserve">bom_00130</t>
  </si>
  <si>
    <t xml:space="preserve">4120a9d0-82bf-444b-bd78-b19b8ce0695e</t>
  </si>
  <si>
    <t xml:space="preserve">bom_00131</t>
  </si>
  <si>
    <t xml:space="preserve">8db2d9c9-42d0-463d-864b-ce73fa2fb70f</t>
  </si>
  <si>
    <t xml:space="preserve">bom_00132</t>
  </si>
  <si>
    <t xml:space="preserve">925b9401-dc11-4004-981f-54e2a09a7361</t>
  </si>
  <si>
    <t xml:space="preserve">bom_00133</t>
  </si>
  <si>
    <t xml:space="preserve">8ef42e40-6386-4c7f-845f-5e84a619a3ca</t>
  </si>
  <si>
    <t xml:space="preserve">bom_00134</t>
  </si>
  <si>
    <t xml:space="preserve">868ad359-1be9-4c16-981a-efd05f349449</t>
  </si>
  <si>
    <t xml:space="preserve">bom_00135</t>
  </si>
  <si>
    <t xml:space="preserve">a30f4ffd-a61e-4227-aeeb-4cad9619aeac</t>
  </si>
  <si>
    <t xml:space="preserve">bom_00136</t>
  </si>
  <si>
    <t xml:space="preserve">a03c5fd8-889e-425b-92f5-77561d71e93a</t>
  </si>
  <si>
    <t xml:space="preserve">bom_00137</t>
  </si>
  <si>
    <t xml:space="preserve">68d3f236-7843-4273-81d3-914996ca88be</t>
  </si>
  <si>
    <t xml:space="preserve">bom_00138</t>
  </si>
  <si>
    <t xml:space="preserve">11f32cc6-2446-42ea-8423-56e51200f3dd</t>
  </si>
  <si>
    <t xml:space="preserve">bom_00139</t>
  </si>
  <si>
    <t xml:space="preserve">edd045e2-c5ce-4728-83fa-1b50526b2917</t>
  </si>
  <si>
    <t xml:space="preserve">bom_00140</t>
  </si>
  <si>
    <t xml:space="preserve">dcfdee21-66d9-4ba5-92fb-7e41a8b6b08d</t>
  </si>
  <si>
    <t xml:space="preserve">bom_00141</t>
  </si>
  <si>
    <t xml:space="preserve">08affa84-a83a-4fdd-ac47-cbf70794c8ca</t>
  </si>
  <si>
    <t xml:space="preserve">bom_00142</t>
  </si>
  <si>
    <t xml:space="preserve">1012fc97-e1ea-4fcc-b095-aef9ddd46280</t>
  </si>
  <si>
    <t xml:space="preserve">bom_00143</t>
  </si>
  <si>
    <t xml:space="preserve">011d0442-9ef5-4a8e-a7f3-a0d3c5e23d70</t>
  </si>
  <si>
    <t xml:space="preserve">bom_00144</t>
  </si>
  <si>
    <t xml:space="preserve">357fc2b2-7a6e-4107-964f-d799b7930850</t>
  </si>
  <si>
    <t xml:space="preserve">bom_00145</t>
  </si>
  <si>
    <t xml:space="preserve">41e3c8bc-d1ad-4810-935d-599ee751af87</t>
  </si>
  <si>
    <t xml:space="preserve">bom_00146</t>
  </si>
  <si>
    <t xml:space="preserve">67bbb317-838d-43ad-8252-13f0cdf9c756</t>
  </si>
  <si>
    <t xml:space="preserve">bom_00147</t>
  </si>
  <si>
    <t xml:space="preserve">1672b4f0-c2ec-4de6-8a25-8a5b3316ef30</t>
  </si>
  <si>
    <t xml:space="preserve">bom_00148</t>
  </si>
  <si>
    <t xml:space="preserve">bca13f44-14f6-4234-8ded-e9f55a2caec3</t>
  </si>
  <si>
    <t xml:space="preserve">bom_00149</t>
  </si>
  <si>
    <t xml:space="preserve">45cb8fd4-d65f-4094-85d6-af27f8b60a5a</t>
  </si>
  <si>
    <t xml:space="preserve">bom_00150</t>
  </si>
  <si>
    <t xml:space="preserve">8eb925e5-91a0-4616-842a-92c24c2061ea</t>
  </si>
  <si>
    <t xml:space="preserve">bom_00151</t>
  </si>
  <si>
    <t xml:space="preserve">5389cf62-e9a2-4073-878a-6282763135a4</t>
  </si>
  <si>
    <t xml:space="preserve">bom_00152</t>
  </si>
  <si>
    <t xml:space="preserve">f4a87703-cbd2-469b-8615-8f2de2301a63</t>
  </si>
  <si>
    <t xml:space="preserve">bom_00153</t>
  </si>
  <si>
    <t xml:space="preserve">eb1cfcc3-d324-439c-b3f6-2a0e66526c85</t>
  </si>
  <si>
    <t xml:space="preserve">bom_00154</t>
  </si>
  <si>
    <t xml:space="preserve">df34949f-1d07-4daa-addd-feb5f6e38e5f</t>
  </si>
  <si>
    <t xml:space="preserve">bom_00155</t>
  </si>
  <si>
    <t xml:space="preserve">d860b5a1-5d87-472a-b9d7-98de9268af05</t>
  </si>
  <si>
    <t xml:space="preserve">bom_00156</t>
  </si>
  <si>
    <t xml:space="preserve">a649755f-631b-4749-a57b-02316a4e507e</t>
  </si>
  <si>
    <t xml:space="preserve">bom_00157</t>
  </si>
  <si>
    <t xml:space="preserve">50d7adec-586b-4ee8-9b0b-54bb81cf8ffc</t>
  </si>
  <si>
    <t xml:space="preserve">bom_00158</t>
  </si>
  <si>
    <t xml:space="preserve">36b4dd81-2745-415d-8fd6-e5fa5088c00f</t>
  </si>
  <si>
    <t xml:space="preserve">bom_00159</t>
  </si>
  <si>
    <t xml:space="preserve">0102f3b9-97eb-489f-982b-fc820359dc16</t>
  </si>
  <si>
    <t xml:space="preserve">bom_00160</t>
  </si>
  <si>
    <t xml:space="preserve">fe7e0cf5-f47d-4320-a67d-77f6a324fab4</t>
  </si>
  <si>
    <t xml:space="preserve">bom_00161</t>
  </si>
  <si>
    <t xml:space="preserve">8daa0467-73a6-4e58-84df-1ab798b63b23</t>
  </si>
  <si>
    <t xml:space="preserve">bom_00162</t>
  </si>
  <si>
    <t xml:space="preserve">fa13418e-a9f9-4bf3-bb56-2da57669aaef</t>
  </si>
  <si>
    <t xml:space="preserve">bom_00163</t>
  </si>
  <si>
    <t xml:space="preserve">5e4ecf4d-82bf-470f-b684-32609713d80d</t>
  </si>
  <si>
    <t xml:space="preserve">bom_00164</t>
  </si>
  <si>
    <t xml:space="preserve">96fe12b9-3c01-4d49-9337-433cb7c0565d</t>
  </si>
  <si>
    <t xml:space="preserve">bom_00165</t>
  </si>
  <si>
    <t xml:space="preserve">093cc796-3d23-453b-8306-81d6b5b62849</t>
  </si>
  <si>
    <t xml:space="preserve">bom_00166</t>
  </si>
  <si>
    <t xml:space="preserve">900fe298-7621-4d7f-bf7e-a5ae6ae7646d</t>
  </si>
  <si>
    <t xml:space="preserve">bom_00167</t>
  </si>
  <si>
    <t xml:space="preserve">d648cfe8-5cc0-4091-8387-06828f5b45db</t>
  </si>
  <si>
    <t xml:space="preserve">bom_00168</t>
  </si>
  <si>
    <t xml:space="preserve">5a8ab00b-73d0-4dd1-aa0a-6eaf66ac2b8c</t>
  </si>
  <si>
    <t xml:space="preserve">bom_00169</t>
  </si>
  <si>
    <t xml:space="preserve">72f2419e-1fbc-48a9-9726-0dcb79214f57</t>
  </si>
  <si>
    <t xml:space="preserve">bom_00170</t>
  </si>
  <si>
    <t xml:space="preserve">0fe7b8b8-20f2-4727-9a44-488ea73ef882</t>
  </si>
  <si>
    <t xml:space="preserve">bom_00171</t>
  </si>
  <si>
    <t xml:space="preserve">f8009810-b5ef-4322-b5b3-fe23a6aef77d</t>
  </si>
  <si>
    <t xml:space="preserve">bom_00172</t>
  </si>
  <si>
    <t xml:space="preserve">721a65db-123f-4c05-a0a4-9d07457093f7</t>
  </si>
  <si>
    <t xml:space="preserve">bom_00173</t>
  </si>
  <si>
    <t xml:space="preserve">af5de4e0-ee7e-4eaa-a49e-e2ceb0a0d3fe</t>
  </si>
  <si>
    <t xml:space="preserve">bom_00174</t>
  </si>
  <si>
    <t xml:space="preserve">e7263e0f-c7c8-4074-b76c-8c53aacb8dc1</t>
  </si>
  <si>
    <t xml:space="preserve">bom_00175</t>
  </si>
  <si>
    <t xml:space="preserve">151fa525-66b2-4d27-82a2-924a30d40253</t>
  </si>
  <si>
    <t xml:space="preserve">bom_00176</t>
  </si>
  <si>
    <t xml:space="preserve">91dad9ad-3713-4144-ab2e-858834cea337</t>
  </si>
  <si>
    <t xml:space="preserve">bom_00177</t>
  </si>
  <si>
    <t xml:space="preserve">a95c03e6-d04a-4b12-bb13-1dcb04c2b4a5</t>
  </si>
  <si>
    <t xml:space="preserve">bom_00178</t>
  </si>
  <si>
    <t xml:space="preserve">777dc445-9e1d-423c-ae1d-bde14d797199</t>
  </si>
  <si>
    <t xml:space="preserve">bom_00179</t>
  </si>
  <si>
    <t xml:space="preserve">f3bc39b7-332b-4a2f-972b-489f567d7add</t>
  </si>
  <si>
    <t xml:space="preserve">bom_00180</t>
  </si>
  <si>
    <t xml:space="preserve">ef9541d3-b3d8-472a-9b9c-5b526958c659</t>
  </si>
  <si>
    <t xml:space="preserve">bom_00181</t>
  </si>
  <si>
    <t xml:space="preserve">c094611b-8daa-4b82-8a1e-1107e279e613</t>
  </si>
  <si>
    <t xml:space="preserve">bom_00182</t>
  </si>
  <si>
    <t xml:space="preserve">128db4eb-f91d-45d3-83ab-08aec27506e7</t>
  </si>
  <si>
    <t xml:space="preserve">bom_00183</t>
  </si>
  <si>
    <t xml:space="preserve">ed3d1ebe-4fcb-4a9c-b012-afc519620054</t>
  </si>
  <si>
    <t xml:space="preserve">bom_00184</t>
  </si>
  <si>
    <t xml:space="preserve">05c9c41e-3059-4c9e-b169-dc5184444d4f</t>
  </si>
  <si>
    <t xml:space="preserve">bom_00185</t>
  </si>
  <si>
    <t xml:space="preserve">44ceddc1-398b-447e-b69c-3852b482f4eb</t>
  </si>
  <si>
    <t xml:space="preserve">bom_00186</t>
  </si>
  <si>
    <t xml:space="preserve">978bedef-32ff-459f-9090-f614425bfaab</t>
  </si>
  <si>
    <t xml:space="preserve">bom_00187</t>
  </si>
  <si>
    <t xml:space="preserve">ff3f896a-8e39-405f-b222-78eed771be81</t>
  </si>
  <si>
    <t xml:space="preserve">bom_00188</t>
  </si>
  <si>
    <t xml:space="preserve">edf2ea42-eee7-439a-83e9-e78d08e39a54</t>
  </si>
  <si>
    <t xml:space="preserve">bom_00189</t>
  </si>
  <si>
    <t xml:space="preserve">9f595b88-2ed0-4b4c-a349-6d93e9578708</t>
  </si>
  <si>
    <t xml:space="preserve">bom_00190</t>
  </si>
  <si>
    <t xml:space="preserve">ae75d6e4-affe-4fcb-945a-57e0da29c5df</t>
  </si>
  <si>
    <t xml:space="preserve">bom_00191</t>
  </si>
  <si>
    <t xml:space="preserve">05cea9d0-4fdc-4a6f-ad40-a7986e3ccc62</t>
  </si>
  <si>
    <t xml:space="preserve">bom_00192</t>
  </si>
  <si>
    <t xml:space="preserve">556216ad-86bb-4bff-a996-d4f2b988e261</t>
  </si>
  <si>
    <t xml:space="preserve">bom_00193</t>
  </si>
  <si>
    <t xml:space="preserve">f1f51078-cef6-4b11-b13b-44ea2f12cf68</t>
  </si>
  <si>
    <t xml:space="preserve">bom_00194</t>
  </si>
  <si>
    <t xml:space="preserve">a81f54cc-dfe1-4ce9-8ae3-187fa55b82c9</t>
  </si>
  <si>
    <t xml:space="preserve">bom_00195</t>
  </si>
  <si>
    <t xml:space="preserve">2e6fc136-e5ab-4b97-a46b-48328e10a64d</t>
  </si>
  <si>
    <t xml:space="preserve">bom_00196</t>
  </si>
  <si>
    <t xml:space="preserve">67782d8e-f22e-4169-8913-4e45cb8598ad</t>
  </si>
  <si>
    <t xml:space="preserve">bom_00197</t>
  </si>
  <si>
    <t xml:space="preserve">0a88dd31-86f0-441f-9969-45cbc8eea579</t>
  </si>
  <si>
    <t xml:space="preserve">bom_00198</t>
  </si>
  <si>
    <t xml:space="preserve">e90d78e1-fbad-4fc5-8731-ee07dad066b6</t>
  </si>
  <si>
    <t xml:space="preserve">bom_00199</t>
  </si>
  <si>
    <t xml:space="preserve">0d13aae2-f323-46c3-97f2-8f6b2ef44817</t>
  </si>
  <si>
    <t xml:space="preserve">bom_00200</t>
  </si>
  <si>
    <t xml:space="preserve">3b55da56-1eb6-49e7-8556-7aa6aab7a759</t>
  </si>
  <si>
    <t xml:space="preserve">bom_00201</t>
  </si>
  <si>
    <t xml:space="preserve">5801250a-f2a2-4c06-9675-0586b95e7651</t>
  </si>
  <si>
    <t xml:space="preserve">bom_00202</t>
  </si>
  <si>
    <t xml:space="preserve">990fd765-d09e-4da6-ba97-f9f2ac38af37</t>
  </si>
  <si>
    <t xml:space="preserve">bom_00203</t>
  </si>
  <si>
    <t xml:space="preserve">82c298a9-08cb-4009-8ce4-be79f2d82eb2</t>
  </si>
  <si>
    <t xml:space="preserve">bom_00204</t>
  </si>
  <si>
    <t xml:space="preserve">11d1c343-da02-4959-8fa6-5c2250a4f674</t>
  </si>
  <si>
    <t xml:space="preserve">bom_00205</t>
  </si>
  <si>
    <t xml:space="preserve">4ea831a1-8a7d-4129-9408-ef3bacad13b2</t>
  </si>
  <si>
    <t xml:space="preserve">bom_00206</t>
  </si>
  <si>
    <t xml:space="preserve">e4e80da3-8ea5-4b48-a653-10325376d2e5</t>
  </si>
  <si>
    <t xml:space="preserve">bom_00207</t>
  </si>
  <si>
    <t xml:space="preserve">8f3c0990-d159-4928-b570-4d30bd88c285</t>
  </si>
  <si>
    <t xml:space="preserve">bom_00208</t>
  </si>
  <si>
    <t xml:space="preserve">d0b587c5-74a2-4a29-9cd3-c9af841e989f</t>
  </si>
  <si>
    <t xml:space="preserve">bom_00209</t>
  </si>
  <si>
    <t xml:space="preserve">365167eb-ab88-493b-ae6a-a204de5a2f03</t>
  </si>
  <si>
    <t xml:space="preserve">bom_00210</t>
  </si>
  <si>
    <t xml:space="preserve">fef41d91-da99-4435-9d5b-823904ff3139</t>
  </si>
  <si>
    <t xml:space="preserve">bom_00211</t>
  </si>
  <si>
    <t xml:space="preserve">38448d52-2b63-4e08-89d7-07980b6af37a</t>
  </si>
  <si>
    <t xml:space="preserve">bom_00212</t>
  </si>
  <si>
    <t xml:space="preserve">7571b025-e5a2-408c-80ac-d1e7e4204415</t>
  </si>
  <si>
    <t xml:space="preserve">bom_00213</t>
  </si>
  <si>
    <t xml:space="preserve">90aecc43-c962-4d37-b6cf-5311562e86c8</t>
  </si>
  <si>
    <t xml:space="preserve">bom_00214</t>
  </si>
  <si>
    <t xml:space="preserve">9fa041e7-9069-48fc-a4f4-5e8ba4fafa99</t>
  </si>
  <si>
    <t xml:space="preserve">bom_00215</t>
  </si>
  <si>
    <t xml:space="preserve">974a5bc9-9e4c-4a0e-ad0e-fd5ff177d9f9</t>
  </si>
  <si>
    <t xml:space="preserve">bom_00216</t>
  </si>
  <si>
    <t xml:space="preserve">93bfc0bb-55cc-4107-a645-77c247bc5abb</t>
  </si>
  <si>
    <t xml:space="preserve">bom_00217</t>
  </si>
  <si>
    <t xml:space="preserve">735c9b15-85ca-4836-9a35-6c224899233e</t>
  </si>
  <si>
    <t xml:space="preserve">bom_00218</t>
  </si>
  <si>
    <t xml:space="preserve">ad37a31e-85a2-417a-862c-c24afc94b80c</t>
  </si>
  <si>
    <t xml:space="preserve">bom_00219</t>
  </si>
  <si>
    <t xml:space="preserve">10b209bf-7b81-4cb2-8ef0-88116729cf2d</t>
  </si>
  <si>
    <t xml:space="preserve">bom_00220</t>
  </si>
  <si>
    <t xml:space="preserve">69ac4cfc-ca67-4ae9-8035-4d4d21775322</t>
  </si>
  <si>
    <t xml:space="preserve">bom_00221</t>
  </si>
  <si>
    <t xml:space="preserve">95fa51b5-75cd-4591-8607-6ea54d3c80fa</t>
  </si>
  <si>
    <t xml:space="preserve">bom_00222</t>
  </si>
  <si>
    <t xml:space="preserve">b500eb5f-fd95-4b87-b41c-df9e9f22e62e</t>
  </si>
  <si>
    <t xml:space="preserve">bom_00223</t>
  </si>
  <si>
    <t xml:space="preserve">5355f0f4-4bcb-42de-9e7c-a8ce80020213</t>
  </si>
  <si>
    <t xml:space="preserve">bom_00224</t>
  </si>
  <si>
    <t xml:space="preserve">5b56f7f7-be80-4688-ba96-b7a0a57727ab</t>
  </si>
  <si>
    <t xml:space="preserve">bom_00225</t>
  </si>
  <si>
    <t xml:space="preserve">f8ab823a-8d7f-42d4-9f98-6716d37740e8</t>
  </si>
  <si>
    <t xml:space="preserve">bom_00226</t>
  </si>
  <si>
    <t xml:space="preserve">adf71499-b725-49d1-b196-6eb9e6bb5a14</t>
  </si>
  <si>
    <t xml:space="preserve">bom_00227</t>
  </si>
  <si>
    <t xml:space="preserve">f7eaa9b7-6b78-42a9-88a6-0b18e22d354c</t>
  </si>
  <si>
    <t xml:space="preserve">bom_00228</t>
  </si>
  <si>
    <t xml:space="preserve">4b749e48-dc41-4293-bd1d-42ffb1f0840b</t>
  </si>
  <si>
    <t xml:space="preserve">bom_00229</t>
  </si>
  <si>
    <t xml:space="preserve">980c4057-4664-45ac-b0a3-7e6914b43fa0</t>
  </si>
  <si>
    <t xml:space="preserve">bom_00230</t>
  </si>
  <si>
    <t xml:space="preserve">bf1ee1f3-30be-4aa4-bd98-5febd4eddcf4</t>
  </si>
  <si>
    <t xml:space="preserve">bom_00231</t>
  </si>
  <si>
    <t xml:space="preserve">ad290138-0a16-49f1-93d5-b6c945f238ce</t>
  </si>
  <si>
    <t xml:space="preserve">bom_00232</t>
  </si>
  <si>
    <t xml:space="preserve">d9c11c73-bed0-48e4-95fb-9b43d2b46830</t>
  </si>
  <si>
    <t xml:space="preserve">bom_00233</t>
  </si>
  <si>
    <t xml:space="preserve">8b6f3c22-9eac-4ef4-9054-40580547ba37</t>
  </si>
  <si>
    <t xml:space="preserve">bom_00234</t>
  </si>
  <si>
    <t xml:space="preserve">bcc01d2c-2ddb-4f73-bb10-a52541193a35</t>
  </si>
  <si>
    <t xml:space="preserve">bom_00235</t>
  </si>
  <si>
    <t xml:space="preserve">c3c7c7ac-cd9c-48e3-9251-ec8f9f51c521</t>
  </si>
  <si>
    <t xml:space="preserve">bom_00236</t>
  </si>
  <si>
    <t xml:space="preserve">8fe0cf11-7fe0-448c-8ebd-71309bc2e92b</t>
  </si>
  <si>
    <t xml:space="preserve">bom_00237</t>
  </si>
  <si>
    <t xml:space="preserve">258f5627-1b80-4404-807b-58610724b274</t>
  </si>
  <si>
    <t xml:space="preserve">bom_00238</t>
  </si>
  <si>
    <t xml:space="preserve">5f80d222-f264-4bd1-b9fa-0f2dcc0df8bc</t>
  </si>
  <si>
    <t xml:space="preserve">bom_00239</t>
  </si>
  <si>
    <t xml:space="preserve">8f8546d8-2ab9-41d5-97d2-1646aa78165b</t>
  </si>
  <si>
    <t xml:space="preserve">bom_00240</t>
  </si>
  <si>
    <t xml:space="preserve">36752d23-b64c-4440-852d-22740ebb4a82</t>
  </si>
  <si>
    <t xml:space="preserve">bom_00241</t>
  </si>
  <si>
    <t xml:space="preserve">2d0bc4cc-79c9-465a-981d-e3d1373f3ae3</t>
  </si>
  <si>
    <t xml:space="preserve">bom_00242</t>
  </si>
  <si>
    <t xml:space="preserve">4993a233-2315-48b9-89aa-bfd9660cfa63</t>
  </si>
  <si>
    <t xml:space="preserve">bom_00243</t>
  </si>
  <si>
    <t xml:space="preserve">037d1f26-b14a-4fc6-87e3-5f76430249aa</t>
  </si>
  <si>
    <t xml:space="preserve">bom_00244</t>
  </si>
  <si>
    <t xml:space="preserve">2d7c3963-2950-4984-be68-905b79f606f0</t>
  </si>
  <si>
    <t xml:space="preserve">bom_00245</t>
  </si>
  <si>
    <t xml:space="preserve">ce957795-01e3-42ed-ad51-b18718094e09</t>
  </si>
  <si>
    <t xml:space="preserve">bom_00246</t>
  </si>
  <si>
    <t xml:space="preserve">038aa7b3-3f60-40dc-9adb-a12fb9e9cc22</t>
  </si>
  <si>
    <t xml:space="preserve">bom_00247</t>
  </si>
  <si>
    <t xml:space="preserve">681fb673-6ab2-4e7a-89d4-de3080b15a3f</t>
  </si>
  <si>
    <t xml:space="preserve">bom_00248</t>
  </si>
  <si>
    <t xml:space="preserve">072e9f8c-bf1b-4406-96bf-f276835bd6cd</t>
  </si>
  <si>
    <t xml:space="preserve">bom_00249</t>
  </si>
  <si>
    <t xml:space="preserve">94686658-4f82-48ba-af16-d5062c67a439</t>
  </si>
  <si>
    <t xml:space="preserve">bom_00250</t>
  </si>
  <si>
    <t xml:space="preserve">e7681a61-cd2a-4807-908a-648a7d5decdb</t>
  </si>
  <si>
    <t xml:space="preserve">bom_00251</t>
  </si>
  <si>
    <t xml:space="preserve">02e90175-58c1-4d2f-abd1-df2bdf6594fa</t>
  </si>
  <si>
    <t xml:space="preserve">bom_00252</t>
  </si>
  <si>
    <t xml:space="preserve">da02d2e9-111f-4721-a489-927ac57e16de</t>
  </si>
  <si>
    <t xml:space="preserve">bom_00253</t>
  </si>
  <si>
    <t xml:space="preserve">cd539064-ca7d-492d-8cc0-b9f1b00ebe68</t>
  </si>
  <si>
    <t xml:space="preserve">bom_00254</t>
  </si>
  <si>
    <t xml:space="preserve">30def5f1-ab0f-425d-a545-d29bb4e44d81</t>
  </si>
  <si>
    <t xml:space="preserve">bom_00255</t>
  </si>
  <si>
    <t xml:space="preserve">97a9ec3e-7fc0-4aea-9d46-3dc837e48587</t>
  </si>
  <si>
    <t xml:space="preserve">bom_00256</t>
  </si>
  <si>
    <t xml:space="preserve">1b06034d-0911-45c6-b9fe-ece6c28d862e</t>
  </si>
  <si>
    <t xml:space="preserve">bom_00257</t>
  </si>
  <si>
    <t xml:space="preserve">69f477a9-1a11-44ae-b0e2-fffe421f9ad2</t>
  </si>
  <si>
    <t xml:space="preserve">bom_00258</t>
  </si>
  <si>
    <t xml:space="preserve">550ccf99-afba-495f-8dff-f44370e95e5f</t>
  </si>
  <si>
    <t xml:space="preserve">bom_00259</t>
  </si>
  <si>
    <t xml:space="preserve">f8f29061-cc2a-415f-8da7-f1c0fa04c6b9</t>
  </si>
  <si>
    <t xml:space="preserve">bom_00260</t>
  </si>
  <si>
    <t xml:space="preserve">62e48632-e4f4-4554-af56-5d6f00964a7f</t>
  </si>
  <si>
    <t xml:space="preserve">bom_00261</t>
  </si>
  <si>
    <t xml:space="preserve">1358e20b-7243-4b42-b222-674b0a7a1e27</t>
  </si>
  <si>
    <t xml:space="preserve">bom_00262</t>
  </si>
  <si>
    <t xml:space="preserve">d022a8c4-2dc8-45e5-b634-33ddfcbc78bd</t>
  </si>
  <si>
    <t xml:space="preserve">bom_00263</t>
  </si>
  <si>
    <t xml:space="preserve">ee988831-34e3-43a1-a0e0-e1835edbcdbd</t>
  </si>
  <si>
    <t xml:space="preserve">bom_00264</t>
  </si>
  <si>
    <t xml:space="preserve">7f167827-1bee-492a-a155-ec8b1fd5d5bb</t>
  </si>
  <si>
    <t xml:space="preserve">bom_00265</t>
  </si>
  <si>
    <t xml:space="preserve">20d23e4e-d83d-4094-a719-91824292173c</t>
  </si>
  <si>
    <t xml:space="preserve">bom_00266</t>
  </si>
  <si>
    <t xml:space="preserve">2422a1ad-6a95-4550-a832-b5e977bbaa44</t>
  </si>
  <si>
    <t xml:space="preserve">bom_00267</t>
  </si>
  <si>
    <t xml:space="preserve">fc4dd39d-d461-4a27-b144-65f92a67d364</t>
  </si>
  <si>
    <t xml:space="preserve">bom_00268</t>
  </si>
  <si>
    <t xml:space="preserve">a4ec117b-db82-4183-87de-3e5d9187b321</t>
  </si>
  <si>
    <t xml:space="preserve">bom_00269</t>
  </si>
  <si>
    <t xml:space="preserve">527cbef4-ab93-4255-bf77-11d476017f41</t>
  </si>
  <si>
    <t xml:space="preserve">bom_00270</t>
  </si>
  <si>
    <t xml:space="preserve">0704986d-c79e-4b2c-81a3-93a2a59a9654</t>
  </si>
  <si>
    <t xml:space="preserve">bom_00271</t>
  </si>
  <si>
    <t xml:space="preserve">e04fc157-f9af-490f-9849-ec6bf467b03f</t>
  </si>
  <si>
    <t xml:space="preserve">bom_00272</t>
  </si>
  <si>
    <t xml:space="preserve">b336a70c-7e76-4f0f-b284-d03732c219ab</t>
  </si>
  <si>
    <t xml:space="preserve">bom_00273</t>
  </si>
  <si>
    <t xml:space="preserve">064d9746-9a5e-45f8-954e-55dcf3881b6d</t>
  </si>
  <si>
    <t xml:space="preserve">bom_00274</t>
  </si>
  <si>
    <t xml:space="preserve">0baf6fdc-3fdb-4789-a08d-2942daa54c1c</t>
  </si>
  <si>
    <t xml:space="preserve">bom_00275</t>
  </si>
  <si>
    <t xml:space="preserve">a0367aff-8001-4882-a22c-588e33801a6c</t>
  </si>
  <si>
    <t xml:space="preserve">bom_00276</t>
  </si>
  <si>
    <t xml:space="preserve">df26dbb3-8aa6-42e3-bda6-1caf7d4341a9</t>
  </si>
  <si>
    <t xml:space="preserve">bom_00277</t>
  </si>
  <si>
    <t xml:space="preserve">3b5f57ca-4b47-4754-8126-0b5be5309e44</t>
  </si>
  <si>
    <t xml:space="preserve">bom_00278</t>
  </si>
  <si>
    <t xml:space="preserve">72f34e6a-b68a-4090-906e-52a23795774a</t>
  </si>
  <si>
    <t xml:space="preserve">bom_00279</t>
  </si>
  <si>
    <t xml:space="preserve">fddf6878-a834-4abb-9d1e-953e1e5d1188</t>
  </si>
  <si>
    <t xml:space="preserve">bom_00280</t>
  </si>
  <si>
    <t xml:space="preserve">77de0270-95fb-40e2-82e1-1ca7eede8d28</t>
  </si>
  <si>
    <t xml:space="preserve">bom_00281</t>
  </si>
  <si>
    <t xml:space="preserve">58227ec7-4daa-43dc-859d-d2b5bc11a4e3</t>
  </si>
  <si>
    <t xml:space="preserve">bom_00282</t>
  </si>
  <si>
    <t xml:space="preserve">ffeb456d-e69e-446d-b327-85023cb4a32f</t>
  </si>
  <si>
    <t xml:space="preserve">bom_00283</t>
  </si>
  <si>
    <t xml:space="preserve">1a9eef6e-77d5-42b7-bf19-51f834f6795d</t>
  </si>
  <si>
    <t xml:space="preserve">bom_00284</t>
  </si>
  <si>
    <t xml:space="preserve">181d1139-4ae9-4429-8a61-16e7a1351b45</t>
  </si>
  <si>
    <t xml:space="preserve">bom_00285</t>
  </si>
  <si>
    <t xml:space="preserve">d4c52cf1-0efe-4f8a-a9a7-7ce8a3fec0fe</t>
  </si>
  <si>
    <t xml:space="preserve">bom_00286</t>
  </si>
  <si>
    <t xml:space="preserve">88485c1f-67e8-4815-9cfd-ccbdffc6ebb2</t>
  </si>
  <si>
    <t xml:space="preserve">bom_00287</t>
  </si>
  <si>
    <t xml:space="preserve">8edb2e36-d10f-4dc9-947b-cc83b1d4e1c8</t>
  </si>
  <si>
    <t xml:space="preserve">bom_00288</t>
  </si>
  <si>
    <t xml:space="preserve">93ea162d-338a-420f-b74e-ad01344f1388</t>
  </si>
  <si>
    <t xml:space="preserve">bom_00289</t>
  </si>
  <si>
    <t xml:space="preserve">15a7734d-f429-4cba-8423-c18755ffba6f</t>
  </si>
  <si>
    <t xml:space="preserve">bom_00290</t>
  </si>
  <si>
    <t xml:space="preserve">598d8f3f-99f3-4539-9a03-b8b77ebb6ee5</t>
  </si>
  <si>
    <t xml:space="preserve">bom_00291</t>
  </si>
  <si>
    <t xml:space="preserve">6e2238e9-497a-4541-bef9-02d6b873593e</t>
  </si>
  <si>
    <t xml:space="preserve">bom_00292</t>
  </si>
  <si>
    <t xml:space="preserve">263c4fe1-7f3f-4431-8fee-e3b85684af73</t>
  </si>
  <si>
    <t xml:space="preserve">bom_00293</t>
  </si>
  <si>
    <t xml:space="preserve">aef374c3-968c-4248-a6dc-78932e99cfe9</t>
  </si>
  <si>
    <t xml:space="preserve">bom_00294</t>
  </si>
  <si>
    <t xml:space="preserve">9a1e30e4-351a-4d81-b7de-821d2abfe068</t>
  </si>
  <si>
    <t xml:space="preserve">bom_00295</t>
  </si>
  <si>
    <t xml:space="preserve">df00fb73-70b0-4e7e-ada9-e6a8ecd330a8</t>
  </si>
  <si>
    <t xml:space="preserve">bom_00296</t>
  </si>
  <si>
    <t xml:space="preserve">d4aaee68-c3f7-4b52-83d7-97ae7a7f6860</t>
  </si>
  <si>
    <t xml:space="preserve">bom_00297</t>
  </si>
  <si>
    <t xml:space="preserve">b4a4fdca-3693-486d-8e22-470b5708b5e5</t>
  </si>
  <si>
    <t xml:space="preserve">bom_00298</t>
  </si>
  <si>
    <t xml:space="preserve">43a84722-5829-4041-abd2-86a38c75432a</t>
  </si>
  <si>
    <t xml:space="preserve">bom_00299</t>
  </si>
  <si>
    <t xml:space="preserve">b9f20b49-23c3-447b-9f2a-5e5820f08fcb</t>
  </si>
  <si>
    <t xml:space="preserve">bom_00300</t>
  </si>
  <si>
    <t xml:space="preserve">5790c2f8-c898-4d32-abd2-aef86fd90fc6</t>
  </si>
  <si>
    <t xml:space="preserve">bom_00301</t>
  </si>
  <si>
    <t xml:space="preserve">bad1ec80-e5e0-4f15-97af-60cb4fc668bb</t>
  </si>
  <si>
    <t xml:space="preserve">bom_00302</t>
  </si>
  <si>
    <t xml:space="preserve">0074ae9b-e12b-4cb6-9ebf-0e639863fa21</t>
  </si>
  <si>
    <t xml:space="preserve">bom_00303</t>
  </si>
  <si>
    <t xml:space="preserve">0886416e-e3bb-43b5-ab28-6ce2b7c08de0</t>
  </si>
  <si>
    <t xml:space="preserve">bom_00304</t>
  </si>
  <si>
    <t xml:space="preserve">b2eb3c15-e9ff-4b86-88a3-42ac49a8ecfa</t>
  </si>
  <si>
    <t xml:space="preserve">bom_00305</t>
  </si>
  <si>
    <t xml:space="preserve">627685ad-5f71-4359-9a42-b6701c611467</t>
  </si>
  <si>
    <t xml:space="preserve">bom_00306</t>
  </si>
  <si>
    <t xml:space="preserve">d2f91582-0dbf-4646-89f6-db97f3a323ed</t>
  </si>
  <si>
    <t xml:space="preserve">bom_00307</t>
  </si>
  <si>
    <t xml:space="preserve">684c4977-1e4f-444e-aa64-b965bd0db5fa</t>
  </si>
  <si>
    <t xml:space="preserve">bom_00308</t>
  </si>
  <si>
    <t xml:space="preserve">9372b114-fddf-4b0e-8077-9dc79a7ebfc3</t>
  </si>
  <si>
    <t xml:space="preserve">bom_00309</t>
  </si>
  <si>
    <t xml:space="preserve">6cd1f23e-2017-40ba-b016-538cfd03a648</t>
  </si>
  <si>
    <t xml:space="preserve">bom_00310</t>
  </si>
  <si>
    <t xml:space="preserve">01937d20-9c4e-4e97-8483-aff2ef2b4c63</t>
  </si>
  <si>
    <t xml:space="preserve">bom_00311</t>
  </si>
  <si>
    <t xml:space="preserve">99b976b5-cc73-4c38-bd67-2b5fc8aaae4c</t>
  </si>
  <si>
    <t xml:space="preserve">bom_00312</t>
  </si>
  <si>
    <t xml:space="preserve">de9e7943-3d57-4b9f-af00-bad54998c31c</t>
  </si>
  <si>
    <t xml:space="preserve">bom_00313</t>
  </si>
  <si>
    <t xml:space="preserve">6ff4c8a0-4f48-4c2d-b7c0-e96d6c70abd1</t>
  </si>
  <si>
    <t xml:space="preserve">bom_00314</t>
  </si>
  <si>
    <t xml:space="preserve">05e90f58-8ccc-4cf8-8609-4af444383b48</t>
  </si>
  <si>
    <t xml:space="preserve">bom_00315</t>
  </si>
  <si>
    <t xml:space="preserve">e8b46e7c-e6c7-413b-8f8a-933d61dd32ec</t>
  </si>
  <si>
    <t xml:space="preserve">bom_00316</t>
  </si>
  <si>
    <t xml:space="preserve">91807c39-7f41-4224-bf92-48851b67e5f7</t>
  </si>
  <si>
    <t xml:space="preserve">bom_00317</t>
  </si>
  <si>
    <t xml:space="preserve">93170dc6-4cf2-42af-a980-7f0de72f05f7</t>
  </si>
  <si>
    <t xml:space="preserve">bom_00318</t>
  </si>
  <si>
    <t xml:space="preserve">24fbe240-5113-45f1-89af-a6482698779b</t>
  </si>
  <si>
    <t xml:space="preserve">bom_00319</t>
  </si>
  <si>
    <t xml:space="preserve">f47e7bc5-46b6-40b2-bb7d-24adaffacdb5</t>
  </si>
  <si>
    <t xml:space="preserve">bom_00320</t>
  </si>
  <si>
    <t xml:space="preserve">871ec4a3-b161-42a9-9c37-b76cb409c3cb</t>
  </si>
  <si>
    <t xml:space="preserve">bom_00321</t>
  </si>
  <si>
    <t xml:space="preserve">2a5921a1-589f-4c46-b4cb-8780612eb8d4</t>
  </si>
  <si>
    <t xml:space="preserve">bom_00322</t>
  </si>
  <si>
    <t xml:space="preserve">1835a362-e9d6-4036-9c0e-6c7108781952</t>
  </si>
  <si>
    <t xml:space="preserve">bom_00323</t>
  </si>
  <si>
    <t xml:space="preserve">8226ee29-a708-4718-998a-e873077094e5</t>
  </si>
  <si>
    <t xml:space="preserve">bom_00324</t>
  </si>
  <si>
    <t xml:space="preserve">0c962f0d-7ba7-452d-b2ac-8a36098a719f</t>
  </si>
  <si>
    <t xml:space="preserve">bom_00325</t>
  </si>
  <si>
    <t xml:space="preserve">b5be0b53-30f9-4be5-8323-8df3d12129cd</t>
  </si>
  <si>
    <t xml:space="preserve">bom_00326</t>
  </si>
  <si>
    <t xml:space="preserve">622e6a8c-1f92-44cf-96ed-2b9f2ab63c32</t>
  </si>
  <si>
    <t xml:space="preserve">bom_00327</t>
  </si>
  <si>
    <t xml:space="preserve">9e1b874a-3d49-4cec-8d98-0ff4039535cc</t>
  </si>
  <si>
    <t xml:space="preserve">bom_00328</t>
  </si>
  <si>
    <t xml:space="preserve">062ebc06-690e-4b0c-8abf-4bfd90cf1b2c</t>
  </si>
  <si>
    <t xml:space="preserve">bom_00329</t>
  </si>
  <si>
    <t xml:space="preserve">b8a50f58-186d-4fa2-b5f9-d24c3ee1249c</t>
  </si>
  <si>
    <t xml:space="preserve">bom_00330</t>
  </si>
  <si>
    <t xml:space="preserve">de1dd992-4b51-4f23-be16-e31b1ecefa41</t>
  </si>
  <si>
    <t xml:space="preserve">bom_00331</t>
  </si>
  <si>
    <t xml:space="preserve">ad5901f7-33ef-42ed-bbc4-7c6b49b5f7e4</t>
  </si>
  <si>
    <t xml:space="preserve">bom_00332</t>
  </si>
  <si>
    <t xml:space="preserve">84ef24a9-a643-403a-ac80-d5d5acada2a3</t>
  </si>
  <si>
    <t xml:space="preserve">bom_00333</t>
  </si>
  <si>
    <t xml:space="preserve">9d4290f9-52d5-4e76-843e-0cb95c977aff</t>
  </si>
  <si>
    <t xml:space="preserve">bom_00334</t>
  </si>
  <si>
    <t xml:space="preserve">1b84bfb7-3d00-46e2-a60b-8dd61d10c4eb</t>
  </si>
  <si>
    <t xml:space="preserve">bom_00335</t>
  </si>
  <si>
    <t xml:space="preserve">662a8eab-72c6-4fee-a62c-b531a6838b68</t>
  </si>
  <si>
    <t xml:space="preserve">bom_00336</t>
  </si>
  <si>
    <t xml:space="preserve">d4195d6c-9be6-4bf5-903b-c8a7f453b6a8</t>
  </si>
  <si>
    <t xml:space="preserve">bom_00337</t>
  </si>
  <si>
    <t xml:space="preserve">37ec9b6f-bf1c-438b-8534-024ed77285c7</t>
  </si>
  <si>
    <t xml:space="preserve">bom_00338</t>
  </si>
  <si>
    <t xml:space="preserve">d02678c9-0299-4b0d-a8fe-bd208c6bb7d0</t>
  </si>
  <si>
    <t xml:space="preserve">bom_00339</t>
  </si>
  <si>
    <t xml:space="preserve">ac5864fa-c334-43e6-b19d-de1d9e55f11f</t>
  </si>
  <si>
    <t xml:space="preserve">bom_00340</t>
  </si>
  <si>
    <t xml:space="preserve">8fff1715-4052-4e69-8683-ceb924a7e0c2</t>
  </si>
  <si>
    <t xml:space="preserve">bom_00341</t>
  </si>
  <si>
    <t xml:space="preserve">a2696b1a-6867-44e6-b219-182a8c74d76b</t>
  </si>
  <si>
    <t xml:space="preserve">bom_00342</t>
  </si>
  <si>
    <t xml:space="preserve">6b71b3ed-0e22-452a-b250-a51a186e4771</t>
  </si>
  <si>
    <t xml:space="preserve">bom_00343</t>
  </si>
  <si>
    <t xml:space="preserve">a99ab410-03a7-4338-82d2-5bb24bbb02f1</t>
  </si>
  <si>
    <t xml:space="preserve">bom_00344</t>
  </si>
  <si>
    <t xml:space="preserve">18868ba5-073d-4bfb-93a4-93f9b883f0a8</t>
  </si>
  <si>
    <t xml:space="preserve">bom_00345</t>
  </si>
  <si>
    <t xml:space="preserve">a89ffc26-5fbe-4809-9e57-b97ca0657a50</t>
  </si>
  <si>
    <t xml:space="preserve">bom_00346</t>
  </si>
  <si>
    <t xml:space="preserve">e49c2796-f6b3-4266-8d08-db18a21fb0e1</t>
  </si>
  <si>
    <t xml:space="preserve">bom_00347</t>
  </si>
  <si>
    <t xml:space="preserve">7c7f5f85-6d80-484f-ac53-74acb11e4d28</t>
  </si>
  <si>
    <t xml:space="preserve">bom_00348</t>
  </si>
  <si>
    <t xml:space="preserve">b791477f-4582-4762-a19f-ae03da66be5b</t>
  </si>
  <si>
    <t xml:space="preserve">bom_00349</t>
  </si>
  <si>
    <t xml:space="preserve">6f2e3d08-e7e0-43b8-a1b9-be441c7645ff</t>
  </si>
  <si>
    <t xml:space="preserve">bom_00350</t>
  </si>
  <si>
    <t xml:space="preserve">827ab287-4d08-4d28-8fab-10af2cdf8301</t>
  </si>
  <si>
    <t xml:space="preserve">bom_00351</t>
  </si>
  <si>
    <t xml:space="preserve">8fe2dbdb-004d-4220-aec6-ca59aa1302a9</t>
  </si>
  <si>
    <t xml:space="preserve">bom_00352</t>
  </si>
  <si>
    <t xml:space="preserve">991a6d81-4994-4cb4-b7b3-7285b422802f</t>
  </si>
  <si>
    <t xml:space="preserve">bom_00353</t>
  </si>
  <si>
    <t xml:space="preserve">db2ed04e-76ec-4784-aead-b3d466326fc6</t>
  </si>
  <si>
    <t xml:space="preserve">bom_00354</t>
  </si>
  <si>
    <t xml:space="preserve">924ef1ea-7c24-4820-9919-aded40185eae</t>
  </si>
  <si>
    <t xml:space="preserve">bom_00355</t>
  </si>
  <si>
    <t xml:space="preserve">402874a8-1bd8-4ff1-a6de-ab8c218da219</t>
  </si>
  <si>
    <t xml:space="preserve">bom_00356</t>
  </si>
  <si>
    <t xml:space="preserve">da0c3b13-46bb-4cc0-bfcb-161ce8db212c</t>
  </si>
  <si>
    <t xml:space="preserve">bom_00357</t>
  </si>
  <si>
    <t xml:space="preserve">14b68663-be67-4f58-a060-2e328a9bbf04</t>
  </si>
  <si>
    <t xml:space="preserve">bom_00358</t>
  </si>
  <si>
    <t xml:space="preserve">5be3be4f-02e6-422c-ac2b-2f12dea3be06</t>
  </si>
  <si>
    <t xml:space="preserve">bom_00359</t>
  </si>
  <si>
    <t xml:space="preserve">fea01a34-ac65-4823-9995-281f5700a976</t>
  </si>
  <si>
    <t xml:space="preserve">bom_00360</t>
  </si>
  <si>
    <t xml:space="preserve">c07e7de4-5c04-4aa2-a14b-2203caf0fa4c</t>
  </si>
  <si>
    <t xml:space="preserve">bom_00361</t>
  </si>
  <si>
    <t xml:space="preserve">f19c51be-8c83-43c9-9130-d1a0900e2c57</t>
  </si>
  <si>
    <t xml:space="preserve">bom_00362</t>
  </si>
  <si>
    <t xml:space="preserve">44d2e123-abf7-4027-ab37-cf9f738a0354</t>
  </si>
  <si>
    <t xml:space="preserve">bom_00363</t>
  </si>
  <si>
    <t xml:space="preserve">2c352688-30f4-48f0-ada2-411ea68d3e2b</t>
  </si>
  <si>
    <t xml:space="preserve">bom_00364</t>
  </si>
  <si>
    <t xml:space="preserve">fa2aa217-9399-4f84-aab4-5759bd3a4a28</t>
  </si>
  <si>
    <t xml:space="preserve">bom_00365</t>
  </si>
  <si>
    <t xml:space="preserve">35fbe9cb-61f5-4dc9-8767-c5799c789f27</t>
  </si>
  <si>
    <t xml:space="preserve">bom_00366</t>
  </si>
  <si>
    <t xml:space="preserve">de8bf63d-9056-4b66-a22d-57bdb480c35d</t>
  </si>
  <si>
    <t xml:space="preserve">bom_00367</t>
  </si>
  <si>
    <t xml:space="preserve">c27e60d8-5ee1-439b-88f6-b0ecc9dd863c</t>
  </si>
  <si>
    <t xml:space="preserve">bom_00368</t>
  </si>
  <si>
    <t xml:space="preserve">ca6fda05-f5a4-4c7b-b225-93c2b39a809f</t>
  </si>
  <si>
    <t xml:space="preserve">bom_00369</t>
  </si>
  <si>
    <t xml:space="preserve">871906f4-d101-4dd6-ba33-a5b52dcdcb51</t>
  </si>
  <si>
    <t xml:space="preserve">bom_00370</t>
  </si>
  <si>
    <t xml:space="preserve">f26db265-5f22-429c-91bf-fe56677ddbc9</t>
  </si>
  <si>
    <t xml:space="preserve">bom_00371</t>
  </si>
  <si>
    <t xml:space="preserve">0204aae2-444f-4eaf-92c8-3721dd244d27</t>
  </si>
  <si>
    <t xml:space="preserve">bom_00372</t>
  </si>
  <si>
    <t xml:space="preserve">d65f6857-5064-4038-b730-6ebd7f04b9a6</t>
  </si>
  <si>
    <t xml:space="preserve">bom_00373</t>
  </si>
  <si>
    <t xml:space="preserve">ec45b355-eb91-4cc2-a46e-320c1db491ee</t>
  </si>
  <si>
    <t xml:space="preserve">bom_00374</t>
  </si>
  <si>
    <t xml:space="preserve">e6d67225-6aa3-4f47-a912-8c17d467d66a</t>
  </si>
  <si>
    <t xml:space="preserve">bom_00375</t>
  </si>
  <si>
    <t xml:space="preserve">e8158b7c-9d29-4e01-9ebf-61c8d2d59ec8</t>
  </si>
  <si>
    <t xml:space="preserve">bom_00376</t>
  </si>
  <si>
    <t xml:space="preserve">16dcffed-36c1-44fc-bcb3-c540f9b15b67</t>
  </si>
  <si>
    <t xml:space="preserve">bom_00377</t>
  </si>
  <si>
    <t xml:space="preserve">51d436bf-0fea-484b-b58d-b9d3c0b3b72d</t>
  </si>
  <si>
    <t xml:space="preserve">bom_00378</t>
  </si>
  <si>
    <t xml:space="preserve">52b9b43e-8a71-4693-9d60-b0e8592703d5</t>
  </si>
  <si>
    <t xml:space="preserve">bom_00379</t>
  </si>
  <si>
    <t xml:space="preserve">070c89f1-6a63-4985-8bc4-1439e1322a4f</t>
  </si>
  <si>
    <t xml:space="preserve">bom_00380</t>
  </si>
  <si>
    <t xml:space="preserve">4df1e903-ef0d-42c8-8186-7357bea703e5</t>
  </si>
  <si>
    <t xml:space="preserve">bom_00381</t>
  </si>
  <si>
    <t xml:space="preserve">5010a4d0-c9d4-4989-a1eb-958ac642a5cd</t>
  </si>
  <si>
    <t xml:space="preserve">bom_00382</t>
  </si>
  <si>
    <t xml:space="preserve">0d74ee98-4590-4897-bbce-9fc17d4d45bf</t>
  </si>
  <si>
    <t xml:space="preserve">bom_00383</t>
  </si>
  <si>
    <t xml:space="preserve">fa4a15d8-aee7-4c06-a663-fbb517e329d0</t>
  </si>
  <si>
    <t xml:space="preserve">bom_00384</t>
  </si>
  <si>
    <t xml:space="preserve">8c398e87-cde1-4814-a1db-87ec694c70e8</t>
  </si>
  <si>
    <t xml:space="preserve">bom_00385</t>
  </si>
  <si>
    <t xml:space="preserve">a5970379-9f83-47af-9976-7944d9a0be46</t>
  </si>
  <si>
    <t xml:space="preserve">bom_00386</t>
  </si>
  <si>
    <t xml:space="preserve">270d1562-e9b7-4fe1-b63c-f1b8912ece33</t>
  </si>
  <si>
    <t xml:space="preserve">bom_00387</t>
  </si>
  <si>
    <t xml:space="preserve">f4236138-a4fa-4de7-ab2b-af91601d6b1f</t>
  </si>
  <si>
    <t xml:space="preserve">bom_00388</t>
  </si>
  <si>
    <t xml:space="preserve">8db6c899-acf1-447a-ac0c-524dab62f461</t>
  </si>
  <si>
    <t xml:space="preserve">bom_00389</t>
  </si>
  <si>
    <t xml:space="preserve">29888b9a-4cc4-4f72-bf93-12cf3a435481</t>
  </si>
  <si>
    <t xml:space="preserve">bom_00390</t>
  </si>
  <si>
    <t xml:space="preserve">93bef1b6-b25e-4ddb-a2d3-e8b5104cb756</t>
  </si>
  <si>
    <t xml:space="preserve">bom_00391</t>
  </si>
  <si>
    <t xml:space="preserve">45457a1b-49f1-4644-808b-66bdb749fe00</t>
  </si>
  <si>
    <t xml:space="preserve">bom_00392</t>
  </si>
  <si>
    <t xml:space="preserve">9efd973b-f24c-430d-b3bc-6e140f17d898</t>
  </si>
  <si>
    <t xml:space="preserve">bom_00393</t>
  </si>
  <si>
    <t xml:space="preserve">5f5df303-c73c-4940-a61a-9004db9a0ad6</t>
  </si>
  <si>
    <t xml:space="preserve">bom_00394</t>
  </si>
  <si>
    <t xml:space="preserve">6cb4baaf-fe7c-4ca8-8a8c-2b083d86dc6d</t>
  </si>
  <si>
    <t xml:space="preserve">bom_00395</t>
  </si>
  <si>
    <t xml:space="preserve">1804cd5b-2603-44a3-9240-9e1525d619fb</t>
  </si>
  <si>
    <t xml:space="preserve">bom_00396</t>
  </si>
  <si>
    <t xml:space="preserve">1f243880-7263-4d1f-a77d-9505d813499f</t>
  </si>
  <si>
    <t xml:space="preserve">bom_00397</t>
  </si>
  <si>
    <t xml:space="preserve">44b1d6ec-c8dd-47a0-88a0-38dd0204d709</t>
  </si>
  <si>
    <t xml:space="preserve">bom_00398</t>
  </si>
  <si>
    <t xml:space="preserve">76b58008-ee5c-4369-8bcb-790f60160183</t>
  </si>
  <si>
    <t xml:space="preserve">bom_00399</t>
  </si>
  <si>
    <t xml:space="preserve">585610c8-2fb2-4c18-bc3e-7d9611db8dca</t>
  </si>
  <si>
    <t xml:space="preserve">bom_00400</t>
  </si>
  <si>
    <t xml:space="preserve">082fea2f-f166-4bb7-9974-a294267be95f</t>
  </si>
  <si>
    <t xml:space="preserve">bom_00401</t>
  </si>
  <si>
    <t xml:space="preserve">982bb8e1-f822-4c87-a95d-54768a9c1601</t>
  </si>
  <si>
    <t xml:space="preserve">bom_00402</t>
  </si>
  <si>
    <t xml:space="preserve">464deee6-112e-4096-8e6c-0fefc68b1276</t>
  </si>
  <si>
    <t xml:space="preserve">bom_00403</t>
  </si>
  <si>
    <t xml:space="preserve">9f1cd465-c94f-4b55-b6a8-65a23825ffd7</t>
  </si>
  <si>
    <t xml:space="preserve">bom_00404</t>
  </si>
  <si>
    <t xml:space="preserve">9bff036f-c690-47a6-a41e-6e7d3dcac184</t>
  </si>
  <si>
    <t xml:space="preserve">bom_00405</t>
  </si>
  <si>
    <t xml:space="preserve">2333c6a5-2a6e-4e23-ab44-533bdbcd1447</t>
  </si>
  <si>
    <t xml:space="preserve">bom_00406</t>
  </si>
  <si>
    <t xml:space="preserve">0f3cc6fa-1a03-4394-a82b-9ba908c88728</t>
  </si>
  <si>
    <t xml:space="preserve">bom_00407</t>
  </si>
  <si>
    <t xml:space="preserve">d68bfbf1-6176-40a5-966c-d75b6dea875c</t>
  </si>
  <si>
    <t xml:space="preserve">bom_00408</t>
  </si>
  <si>
    <t xml:space="preserve">0d33d8c9-4c41-4c09-9776-2521c65df478</t>
  </si>
  <si>
    <t xml:space="preserve">bom_00409</t>
  </si>
  <si>
    <t xml:space="preserve">d4a64a86-c201-4da1-97dd-1505cfa41ca0</t>
  </si>
  <si>
    <t xml:space="preserve">bom_00410</t>
  </si>
  <si>
    <t xml:space="preserve">ee1c891b-4c3f-4efa-9472-c1bdbbea7345</t>
  </si>
  <si>
    <t xml:space="preserve">bom_00411</t>
  </si>
  <si>
    <t xml:space="preserve">983b0cf6-b028-427b-82eb-f2863e55f09d</t>
  </si>
  <si>
    <t xml:space="preserve">bom_00412</t>
  </si>
  <si>
    <t xml:space="preserve">3e605e36-5462-4496-977e-6f6960c136ed</t>
  </si>
  <si>
    <t xml:space="preserve">bom_00413</t>
  </si>
  <si>
    <t xml:space="preserve">33a622a5-a6af-4946-9dd5-f96fb1318353</t>
  </si>
  <si>
    <t xml:space="preserve">bom_00414</t>
  </si>
  <si>
    <t xml:space="preserve">27687a2f-2a81-47c6-94e6-92cf7ed5f9cb</t>
  </si>
  <si>
    <t xml:space="preserve">bom_00415</t>
  </si>
  <si>
    <t xml:space="preserve">8f108d48-ba3c-47a1-b6fe-c2a8718bbaf2</t>
  </si>
  <si>
    <t xml:space="preserve">bom_00416</t>
  </si>
  <si>
    <t xml:space="preserve">535b3590-3dab-4c16-8131-6cb0c83e32a0</t>
  </si>
  <si>
    <t xml:space="preserve">bom_00417</t>
  </si>
  <si>
    <t xml:space="preserve">22bd3af3-f73f-43b7-ae3c-d84a383d10c3</t>
  </si>
  <si>
    <t xml:space="preserve">bom_00418</t>
  </si>
  <si>
    <t xml:space="preserve">f77cb968-291e-43b5-b2d4-75aab00e914f</t>
  </si>
  <si>
    <t xml:space="preserve">bom_00419</t>
  </si>
  <si>
    <t xml:space="preserve">4d420d87-93ad-451b-982c-7fdbca1ebfbf</t>
  </si>
  <si>
    <t xml:space="preserve">bom_00420</t>
  </si>
  <si>
    <t xml:space="preserve">e47614cf-1ecf-4017-94ed-ca48f7bd08dd</t>
  </si>
  <si>
    <t xml:space="preserve">bom_00421</t>
  </si>
  <si>
    <t xml:space="preserve">e1a19f6d-7c90-42ae-bc54-e913cb04c0b7</t>
  </si>
  <si>
    <t xml:space="preserve">bom_00422</t>
  </si>
  <si>
    <t xml:space="preserve">6b2ab500-196f-4ec0-8512-585169df99a2</t>
  </si>
  <si>
    <t xml:space="preserve">bom_00423</t>
  </si>
  <si>
    <t xml:space="preserve">5b1adeeb-7af3-4cc6-8dab-02b6bc7aa0d7</t>
  </si>
  <si>
    <t xml:space="preserve">bom_00424</t>
  </si>
  <si>
    <t xml:space="preserve">c1bf3a80-57aa-403f-b0ee-4f9c4a30937b</t>
  </si>
  <si>
    <t xml:space="preserve">bom_00425</t>
  </si>
  <si>
    <t xml:space="preserve">7868ecf0-5470-483e-b6ce-df3fd7ef1cda</t>
  </si>
  <si>
    <t xml:space="preserve">bom_00426</t>
  </si>
  <si>
    <t xml:space="preserve">31a15249-ce80-4e4b-8df0-5d5ce07b2ca3</t>
  </si>
  <si>
    <t xml:space="preserve">bom_00427</t>
  </si>
  <si>
    <t xml:space="preserve">5c3d94ed-1c07-4d1c-b75f-ccdd0225a7e8</t>
  </si>
  <si>
    <t xml:space="preserve">bom_00428</t>
  </si>
  <si>
    <t xml:space="preserve">6e95ed65-78bf-425d-a235-1484a8cf66ec</t>
  </si>
  <si>
    <t xml:space="preserve">bom_00429</t>
  </si>
  <si>
    <t xml:space="preserve">238fb3e1-e22d-4fa6-a2dd-9477ebb59b8a</t>
  </si>
  <si>
    <t xml:space="preserve">bom_00430</t>
  </si>
  <si>
    <t xml:space="preserve">a39da9cd-2749-4b5d-841b-8f8c6c2d9bcc</t>
  </si>
  <si>
    <t xml:space="preserve">bom_00431</t>
  </si>
  <si>
    <t xml:space="preserve">9aaea6a2-9dd0-4ff1-802d-cc26bc8946ef</t>
  </si>
  <si>
    <t xml:space="preserve">bom_00432</t>
  </si>
  <si>
    <t xml:space="preserve">2fa8bfae-ddc0-4688-b8a8-224ab729c41e</t>
  </si>
  <si>
    <t xml:space="preserve">bom_00433</t>
  </si>
  <si>
    <t xml:space="preserve">1c36773f-a034-43e4-8a29-3028b8c1c918</t>
  </si>
  <si>
    <t xml:space="preserve">bom_00434</t>
  </si>
  <si>
    <t xml:space="preserve">12e1e039-d483-4373-8821-31a9245e64dd</t>
  </si>
  <si>
    <t xml:space="preserve">bom_00435</t>
  </si>
  <si>
    <t xml:space="preserve">f3b6fc9b-20a7-4a04-be58-220198e9a98e</t>
  </si>
  <si>
    <t xml:space="preserve">bom_00436</t>
  </si>
  <si>
    <t xml:space="preserve">7007cc1c-35e5-49cf-b2cf-e569ed731b57</t>
  </si>
  <si>
    <t xml:space="preserve">bom_00437</t>
  </si>
  <si>
    <t xml:space="preserve">7647e1dd-e2cf-4030-bae9-05882d34b732</t>
  </si>
  <si>
    <t xml:space="preserve">bom_00438</t>
  </si>
  <si>
    <t xml:space="preserve">50b94a20-49e8-4b46-ad18-6e8b108bfd76</t>
  </si>
  <si>
    <t xml:space="preserve">bom_00439</t>
  </si>
  <si>
    <t xml:space="preserve">7363e307-23bc-4623-82cf-47ca9a4858fd</t>
  </si>
  <si>
    <t xml:space="preserve">bom_00440</t>
  </si>
  <si>
    <t xml:space="preserve">8bdca582-18c4-4926-b59d-ddb070b92a45</t>
  </si>
  <si>
    <t xml:space="preserve">bom_00441</t>
  </si>
  <si>
    <t xml:space="preserve">69f18d43-36f4-4aa7-9480-7c85e6b84d0f</t>
  </si>
  <si>
    <t xml:space="preserve">bom_00442</t>
  </si>
  <si>
    <t xml:space="preserve">c8f2db61-3cd5-4a8c-bc36-d9dc8f09a483</t>
  </si>
  <si>
    <t xml:space="preserve">bom_00443</t>
  </si>
  <si>
    <t xml:space="preserve">ab2ca248-169c-4324-93af-dee23524c677</t>
  </si>
  <si>
    <t xml:space="preserve">bom_00444</t>
  </si>
  <si>
    <t xml:space="preserve">2bd722eb-e3d3-43ef-9bcb-b4b0c4f7806f</t>
  </si>
  <si>
    <t xml:space="preserve">bom_00445</t>
  </si>
  <si>
    <t xml:space="preserve">d97fa9fa-0027-421e-a49f-36c5dfaa98c8</t>
  </si>
  <si>
    <t xml:space="preserve">bom_00446</t>
  </si>
  <si>
    <t xml:space="preserve">7e93d7d5-cefe-416a-ac5b-bdebfbd202a9</t>
  </si>
  <si>
    <t xml:space="preserve">bom_00447</t>
  </si>
  <si>
    <t xml:space="preserve">fa748572-b915-4f31-8838-ff739efb99bf</t>
  </si>
  <si>
    <t xml:space="preserve">bom_00448</t>
  </si>
  <si>
    <t xml:space="preserve">b2403d96-4abb-43ad-aeb4-27a57c26330a</t>
  </si>
  <si>
    <t xml:space="preserve">bom_00449</t>
  </si>
  <si>
    <t xml:space="preserve">955e5826-2727-40e3-b50f-e3b1a55d5b2b</t>
  </si>
  <si>
    <t xml:space="preserve">bom_00450</t>
  </si>
  <si>
    <t xml:space="preserve">9996c48c-6614-4239-a56b-a3320e9d1706</t>
  </si>
  <si>
    <t xml:space="preserve">bom_00451</t>
  </si>
  <si>
    <t xml:space="preserve">c0bebc1d-d864-4f3e-89ad-cc9913472dd4</t>
  </si>
  <si>
    <t xml:space="preserve">bom_00452</t>
  </si>
  <si>
    <t xml:space="preserve">bdfcdc76-ade2-4f1e-a915-0afff66025af</t>
  </si>
  <si>
    <t xml:space="preserve">bom_00453</t>
  </si>
  <si>
    <t xml:space="preserve">21c8e57d-beae-41ab-87a0-59f5b641d46b</t>
  </si>
  <si>
    <t xml:space="preserve">bom_00454</t>
  </si>
  <si>
    <t xml:space="preserve">11e17589-80e9-4282-a645-57c6e9e7ca4c</t>
  </si>
  <si>
    <t xml:space="preserve">bom_00455</t>
  </si>
  <si>
    <t xml:space="preserve">cb0645b6-e665-40ab-96ef-f81e95349e57</t>
  </si>
  <si>
    <t xml:space="preserve">bom_00456</t>
  </si>
  <si>
    <t xml:space="preserve">e0865f36-89f9-4801-9769-4d7a175b63d0</t>
  </si>
  <si>
    <t xml:space="preserve">bom_00457</t>
  </si>
  <si>
    <t xml:space="preserve">72661a28-cefd-459e-b18b-5b5b5c464e78</t>
  </si>
  <si>
    <t xml:space="preserve">bom_00458</t>
  </si>
  <si>
    <t xml:space="preserve">99401b11-fb63-4d23-836e-9c4e0376ddee</t>
  </si>
  <si>
    <t xml:space="preserve">bom_00459</t>
  </si>
  <si>
    <t xml:space="preserve">e0bd49fe-58f6-4c3a-8f79-aeb9fee8650e</t>
  </si>
  <si>
    <t xml:space="preserve">bom_00460</t>
  </si>
  <si>
    <t xml:space="preserve">7cac3aa7-a8f2-4329-aaa8-9a1434ab045e</t>
  </si>
  <si>
    <t xml:space="preserve">bom_00461</t>
  </si>
  <si>
    <t xml:space="preserve">1bc77e1c-b914-4fc1-9090-6fe5079f7e98</t>
  </si>
  <si>
    <t xml:space="preserve">bom_00462</t>
  </si>
  <si>
    <t xml:space="preserve">c215beef-e705-4cd3-9088-69e7a325f172</t>
  </si>
  <si>
    <t xml:space="preserve">bom_00463</t>
  </si>
  <si>
    <t xml:space="preserve">2143beda-ad7f-44bc-99b0-0735d4286616</t>
  </si>
  <si>
    <t xml:space="preserve">bom_00464</t>
  </si>
  <si>
    <t xml:space="preserve">5f1bb666-b052-44d3-86fb-b94c67ae1713</t>
  </si>
  <si>
    <t xml:space="preserve">bom_00465</t>
  </si>
  <si>
    <t xml:space="preserve">71baf662-dcb8-460b-96ca-d0341462ea2c</t>
  </si>
  <si>
    <t xml:space="preserve">bom_00466</t>
  </si>
  <si>
    <t xml:space="preserve">fe1ec930-ff82-4bc4-ae90-c5a618ccb7b2</t>
  </si>
  <si>
    <t xml:space="preserve">bom_00467</t>
  </si>
  <si>
    <t xml:space="preserve">4f34b8ab-f686-4a78-95b7-d1d2b35fee1d</t>
  </si>
  <si>
    <t xml:space="preserve">bom_00468</t>
  </si>
  <si>
    <t xml:space="preserve">5497313d-c221-444e-a00a-7bbd1c29392c</t>
  </si>
  <si>
    <t xml:space="preserve">bom_00469</t>
  </si>
  <si>
    <t xml:space="preserve">3c732825-7659-4398-ac8b-32d9ef74aa27</t>
  </si>
  <si>
    <t xml:space="preserve">bom_00470</t>
  </si>
  <si>
    <t xml:space="preserve">755dc677-49c4-455e-8996-edef6b8f0374</t>
  </si>
  <si>
    <t xml:space="preserve">bom_00471</t>
  </si>
  <si>
    <t xml:space="preserve">5758de99-9af5-4425-9734-09bfa3ac4252</t>
  </si>
  <si>
    <t xml:space="preserve">bom_00472</t>
  </si>
  <si>
    <t xml:space="preserve">8395cd44-f3e3-4dbc-894f-c83db3d61f96</t>
  </si>
  <si>
    <t xml:space="preserve">bom_00473</t>
  </si>
  <si>
    <t xml:space="preserve">aa8ebd2a-bbd2-42ae-a037-9a2db100bb41</t>
  </si>
  <si>
    <t xml:space="preserve">bom_00474</t>
  </si>
  <si>
    <t xml:space="preserve">59d300cf-9a47-4929-8544-c024100f4475</t>
  </si>
  <si>
    <t xml:space="preserve">bom_00475</t>
  </si>
  <si>
    <t xml:space="preserve">4ed827b5-77ae-4720-9e44-7c27f4d38fad</t>
  </si>
  <si>
    <t xml:space="preserve">bom_00476</t>
  </si>
  <si>
    <t xml:space="preserve">e402910f-6912-4344-80c2-88fe25333437</t>
  </si>
  <si>
    <t xml:space="preserve">bom_00477</t>
  </si>
  <si>
    <t xml:space="preserve">814e4577-caab-42c7-9924-16c141a9495b</t>
  </si>
  <si>
    <t xml:space="preserve">bom_00478</t>
  </si>
  <si>
    <t xml:space="preserve">63c2e937-1f8b-4386-ae6f-429607976fbc</t>
  </si>
  <si>
    <t xml:space="preserve">bom_00479</t>
  </si>
  <si>
    <t xml:space="preserve">0aebafd4-1255-4b1d-b263-4ad0d390e616</t>
  </si>
  <si>
    <t xml:space="preserve">bom_00480</t>
  </si>
  <si>
    <t xml:space="preserve">7b9d08a2-5dc0-4679-9f61-6aa10a68d865</t>
  </si>
  <si>
    <t xml:space="preserve">bom_00481</t>
  </si>
  <si>
    <t xml:space="preserve">b72784c2-d09c-4a5c-b160-1a654a5b5880</t>
  </si>
  <si>
    <t xml:space="preserve">bom_00482</t>
  </si>
  <si>
    <t xml:space="preserve">224008f2-bf5b-4f1f-b758-acf9e5fcff1b</t>
  </si>
  <si>
    <t xml:space="preserve">bom_00483</t>
  </si>
  <si>
    <t xml:space="preserve">f1190c7b-b998-4d68-bfc9-84a1fb907b25</t>
  </si>
  <si>
    <t xml:space="preserve">bom_00484</t>
  </si>
  <si>
    <t xml:space="preserve">dbc24cfc-4537-44cc-9591-2a1277142127</t>
  </si>
  <si>
    <t xml:space="preserve">bom_00485</t>
  </si>
  <si>
    <t xml:space="preserve">24edc573-cae4-4787-9d89-08d804f68adb</t>
  </si>
  <si>
    <t xml:space="preserve">bom_00486</t>
  </si>
  <si>
    <t xml:space="preserve">caed255f-caf4-4de9-ba10-36c92797e3c9</t>
  </si>
  <si>
    <t xml:space="preserve">bom_00487</t>
  </si>
  <si>
    <t xml:space="preserve">7360bc73-f92b-473f-b5a3-d3e58803fc85</t>
  </si>
  <si>
    <t xml:space="preserve">bom_00488</t>
  </si>
  <si>
    <t xml:space="preserve">c70943ee-7d7b-4cfe-a12e-d59e6d0af8aa</t>
  </si>
  <si>
    <t xml:space="preserve">bom_00489</t>
  </si>
  <si>
    <t xml:space="preserve">a688e821-bbbf-4f9e-a301-464731eb6ce3</t>
  </si>
  <si>
    <t xml:space="preserve">bom_00490</t>
  </si>
  <si>
    <t xml:space="preserve">96e07dd1-eecb-45b5-a650-77d4f526a3be</t>
  </si>
  <si>
    <t xml:space="preserve">bom_00491</t>
  </si>
  <si>
    <t xml:space="preserve">99a9eb3c-49f0-425f-8fcc-a5b8be87ec10</t>
  </si>
  <si>
    <t xml:space="preserve">bom_00492</t>
  </si>
  <si>
    <t xml:space="preserve">20e0f93b-839d-47bb-a3d5-d362e906b541</t>
  </si>
  <si>
    <t xml:space="preserve">bom_00493</t>
  </si>
  <si>
    <t xml:space="preserve">a6ace143-8ed6-4ad5-9012-57a355a74116</t>
  </si>
  <si>
    <t xml:space="preserve">bom_00494</t>
  </si>
  <si>
    <t xml:space="preserve">83b3d610-0fee-41c2-b3e9-a6e909c709ff</t>
  </si>
  <si>
    <t xml:space="preserve">bom_00495</t>
  </si>
  <si>
    <t xml:space="preserve">c237b698-a54d-42df-b968-ca252d20a3ec</t>
  </si>
  <si>
    <t xml:space="preserve">bom_00496</t>
  </si>
  <si>
    <t xml:space="preserve">34beefae-55fc-44d2-a1df-cbaba2ff6a55</t>
  </si>
  <si>
    <t xml:space="preserve">bom_00497</t>
  </si>
  <si>
    <t xml:space="preserve">737285f8-f832-47df-a255-a035f196cf11</t>
  </si>
  <si>
    <t xml:space="preserve">bom_00498</t>
  </si>
  <si>
    <t xml:space="preserve">64c3a582-71dd-4a23-8853-aa96810ac215</t>
  </si>
  <si>
    <t xml:space="preserve">bom_00499</t>
  </si>
  <si>
    <t xml:space="preserve">7126d1d5-8f24-462d-9a7c-b11283ca5996</t>
  </si>
  <si>
    <t xml:space="preserve">bom_00500</t>
  </si>
  <si>
    <t xml:space="preserve">component_number</t>
  </si>
  <si>
    <t xml:space="preserve">component_usage_context</t>
  </si>
  <si>
    <t xml:space="preserve">sub_assembly</t>
  </si>
  <si>
    <t xml:space="preserve">count</t>
  </si>
  <si>
    <t xml:space="preserve">component_name</t>
  </si>
  <si>
    <t xml:space="preserve">cost_per_unit</t>
  </si>
  <si>
    <t xml:space="preserve">cost</t>
  </si>
  <si>
    <t xml:space="preserve">unit_assembly_time_min</t>
  </si>
  <si>
    <t xml:space="preserve">total_assembly_time_min</t>
  </si>
  <si>
    <t xml:space="preserve">aluminium profile 40x40 1400 mm (mk)</t>
  </si>
  <si>
    <t xml:space="preserve">aluminium frame</t>
  </si>
  <si>
    <t xml:space="preserve">aluminium profile 40x40 600 mm (mk)</t>
  </si>
  <si>
    <t xml:space="preserve">aluminium profile 40x40 700 mm (mk)</t>
  </si>
  <si>
    <t xml:space="preserve">foot for aluminium frame</t>
  </si>
  <si>
    <t xml:space="preserve">edge bracket for 40-series aluminium profile</t>
  </si>
  <si>
    <t xml:space="preserve">screw</t>
  </si>
  <si>
    <t xml:space="preserve">washer</t>
  </si>
  <si>
    <t xml:space="preserve">nut</t>
  </si>
  <si>
    <t xml:space="preserve">mounting base plate</t>
  </si>
  <si>
    <t xml:space="preserve">mounting base</t>
  </si>
  <si>
    <t xml:space="preserve">linear guide rail</t>
  </si>
  <si>
    <t xml:space="preserve">y-axis</t>
  </si>
  <si>
    <t xml:space="preserve">bearing block</t>
  </si>
  <si>
    <t xml:space="preserve">workpiece plate</t>
  </si>
  <si>
    <t xml:space="preserve">lead screw</t>
  </si>
  <si>
    <t xml:space="preserve">lead screw endblock (loose end)</t>
  </si>
  <si>
    <t xml:space="preserve">lead screw endblock (stiff end)</t>
  </si>
  <si>
    <t xml:space="preserve">electric motor coupling</t>
  </si>
  <si>
    <t xml:space="preserve">electric motor</t>
  </si>
  <si>
    <t xml:space="preserve">electric motor mounting</t>
  </si>
  <si>
    <t xml:space="preserve">aluminium profile 120x120 800 mm (mk)</t>
  </si>
  <si>
    <t xml:space="preserve">t-arm</t>
  </si>
  <si>
    <t xml:space="preserve">aluminium profile 120x120 700 mm (mk)</t>
  </si>
  <si>
    <t xml:space="preserve">edge bracket 120 (K) for 60-series aluminium profile</t>
  </si>
  <si>
    <t xml:space="preserve">edge bracket 120 (J) for 60-series aluminium profile</t>
  </si>
  <si>
    <t xml:space="preserve">x-axis</t>
  </si>
  <si>
    <t xml:space="preserve">screw for linear guide rail</t>
  </si>
  <si>
    <t xml:space="preserve">screw for bearing block</t>
  </si>
  <si>
    <t xml:space="preserve">mounting plate</t>
  </si>
  <si>
    <t xml:space="preserve">z-axis</t>
  </si>
  <si>
    <t xml:space="preserve">gripper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</si>
</sst>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.00"/>
    <numFmt numFmtId="167" formatCode="0.00\ %"/>
    <numFmt numFmtId="168" formatCode="#,##0.00\ [$€-407];[RED]\-#,##0.00\ [$€-407]"/>
    <numFmt numFmtId="169" formatCode="dd/mm/yy"/>
    <numFmt numFmtId="170" formatCode="#,##0.00\ [$€-407];[RED]\-#,##0.00\ [$€-407]"/>
    <numFmt numFmtId="171" formatCode="#"/>
    <numFmt numFmtId="172" formatCode="#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</cellStyles>
  <dxfs count="4"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P19" activeCellId="0" sqref="P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9"/>
    <col collapsed="false" customWidth="true" hidden="false" outlineLevel="0" max="2" min="2" style="2" width="11.7"/>
    <col collapsed="false" customWidth="true" hidden="false" outlineLevel="0" max="3" min="3" style="3" width="10.43"/>
    <col collapsed="false" customWidth="true" hidden="false" outlineLevel="0" max="4" min="4" style="2" width="25.04"/>
    <col collapsed="false" customWidth="true" hidden="false" outlineLevel="0" max="5" min="5" style="2" width="17.67"/>
    <col collapsed="false" customWidth="true" hidden="false" outlineLevel="0" max="6" min="6" style="2" width="7.37"/>
    <col collapsed="false" customWidth="true" hidden="false" outlineLevel="0" max="7" min="7" style="2" width="10.99"/>
    <col collapsed="false" customWidth="true" hidden="false" outlineLevel="0" max="8" min="8" style="2" width="16.55"/>
    <col collapsed="false" customWidth="true" hidden="false" outlineLevel="0" max="9" min="9" style="2" width="15.02"/>
    <col collapsed="false" customWidth="true" hidden="false" outlineLevel="0" max="10" min="10" style="2" width="22.25"/>
    <col collapsed="false" customWidth="true" hidden="false" outlineLevel="0" max="11" min="11" style="4" width="36.88"/>
    <col collapsed="false" customWidth="true" hidden="false" outlineLevel="0" max="12" min="12" style="2" width="15.85"/>
    <col collapsed="false" customWidth="true" hidden="false" outlineLevel="0" max="13" min="13" style="1" width="26.29"/>
    <col collapsed="false" customWidth="true" hidden="false" outlineLevel="0" max="14" min="14" style="5" width="11.39"/>
    <col collapsed="false" customWidth="true" hidden="false" outlineLevel="0" max="15" min="15" style="2" width="8.34"/>
    <col collapsed="false" customWidth="false" hidden="false" outlineLevel="0" max="16384" min="16" style="2" width="11.53"/>
  </cols>
  <sheetData>
    <row r="1" customFormat="false" ht="12.8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9" t="s">
        <v>13</v>
      </c>
      <c r="O1" s="6" t="s">
        <v>14</v>
      </c>
    </row>
    <row r="2" customFormat="false" ht="12.8" hidden="false" customHeight="false" outlineLevel="0" collapsed="false">
      <c r="A2" s="1" t="s">
        <v>15</v>
      </c>
      <c r="B2" s="10" t="s">
        <v>16</v>
      </c>
      <c r="C2" s="3" t="s">
        <v>17</v>
      </c>
      <c r="D2" s="2" t="s">
        <v>18</v>
      </c>
      <c r="E2" s="2" t="s">
        <v>19</v>
      </c>
      <c r="F2" s="2" t="n">
        <v>1</v>
      </c>
      <c r="G2" s="2" t="s">
        <v>20</v>
      </c>
      <c r="H2" s="2" t="s">
        <v>21</v>
      </c>
      <c r="I2" s="2" t="s">
        <v>22</v>
      </c>
      <c r="J2" s="2" t="s">
        <v>23</v>
      </c>
      <c r="K2" s="4" t="str">
        <f aca="false">HYPERLINK("components-cad/" &amp; J2)</f>
        <v>components-cad/ISO4762_M3x5.FCStd</v>
      </c>
      <c r="L2" s="10" t="s">
        <v>24</v>
      </c>
      <c r="M2" s="1" t="str">
        <f aca="false">IFERROR(VLOOKUP(L2, suppliers!$A$1:$Z$1000, 2, 0), "Enter a valid uuid in the supplier_uuid column")</f>
        <v>Adolf Würth GmbH &amp; Co. KG</v>
      </c>
      <c r="N2" s="5" t="n">
        <v>0.1</v>
      </c>
      <c r="O2" s="2" t="s">
        <v>25</v>
      </c>
    </row>
    <row r="3" customFormat="false" ht="12.8" hidden="false" customHeight="false" outlineLevel="0" collapsed="false">
      <c r="A3" s="1" t="s">
        <v>26</v>
      </c>
      <c r="B3" s="10" t="s">
        <v>16</v>
      </c>
      <c r="C3" s="3" t="s">
        <v>27</v>
      </c>
      <c r="D3" s="2" t="s">
        <v>28</v>
      </c>
      <c r="E3" s="2" t="s">
        <v>19</v>
      </c>
      <c r="F3" s="2" t="n">
        <v>1</v>
      </c>
      <c r="G3" s="2" t="s">
        <v>20</v>
      </c>
      <c r="H3" s="2" t="s">
        <v>21</v>
      </c>
      <c r="I3" s="2" t="s">
        <v>22</v>
      </c>
      <c r="J3" s="2" t="s">
        <v>29</v>
      </c>
      <c r="K3" s="4" t="str">
        <f aca="false">HYPERLINK("components-cad/" &amp; J3)</f>
        <v>components-cad/ISO4762_M3x6.FCStd</v>
      </c>
      <c r="L3" s="10" t="s">
        <v>24</v>
      </c>
      <c r="M3" s="1" t="str">
        <f aca="false">IFERROR(VLOOKUP(L3, suppliers!$A$1:$Z$1000, 2, 0), "Enter a valid uuid in the supplier_uuid column")</f>
        <v>Adolf Würth GmbH &amp; Co. KG</v>
      </c>
      <c r="N3" s="5" t="n">
        <v>0.1</v>
      </c>
      <c r="O3" s="2" t="s">
        <v>25</v>
      </c>
    </row>
    <row r="4" customFormat="false" ht="12.8" hidden="false" customHeight="false" outlineLevel="0" collapsed="false">
      <c r="A4" s="1" t="s">
        <v>30</v>
      </c>
      <c r="B4" s="10" t="s">
        <v>16</v>
      </c>
      <c r="C4" s="3" t="s">
        <v>31</v>
      </c>
      <c r="D4" s="2" t="s">
        <v>32</v>
      </c>
      <c r="E4" s="2" t="s">
        <v>19</v>
      </c>
      <c r="F4" s="2" t="n">
        <v>1</v>
      </c>
      <c r="G4" s="2" t="s">
        <v>20</v>
      </c>
      <c r="H4" s="2" t="s">
        <v>21</v>
      </c>
      <c r="I4" s="2" t="s">
        <v>22</v>
      </c>
      <c r="J4" s="2" t="s">
        <v>33</v>
      </c>
      <c r="K4" s="4" t="str">
        <f aca="false">HYPERLINK("components-cad/" &amp; J4)</f>
        <v>components-cad/ISO4762_M3x8.FCStd</v>
      </c>
      <c r="L4" s="10" t="s">
        <v>24</v>
      </c>
      <c r="M4" s="1" t="str">
        <f aca="false">IFERROR(VLOOKUP(L4, suppliers!$A$1:$Z$1000, 2, 0), "Enter a valid uuid in the supplier_uuid column")</f>
        <v>Adolf Würth GmbH &amp; Co. KG</v>
      </c>
      <c r="N4" s="5" t="n">
        <v>0.1</v>
      </c>
      <c r="O4" s="2" t="s">
        <v>25</v>
      </c>
    </row>
    <row r="5" customFormat="false" ht="12.8" hidden="false" customHeight="false" outlineLevel="0" collapsed="false">
      <c r="A5" s="1" t="s">
        <v>34</v>
      </c>
      <c r="B5" s="10" t="s">
        <v>16</v>
      </c>
      <c r="C5" s="3" t="s">
        <v>35</v>
      </c>
      <c r="D5" s="2" t="s">
        <v>36</v>
      </c>
      <c r="E5" s="2" t="s">
        <v>19</v>
      </c>
      <c r="F5" s="2" t="n">
        <v>1</v>
      </c>
      <c r="G5" s="2" t="s">
        <v>20</v>
      </c>
      <c r="H5" s="2" t="s">
        <v>21</v>
      </c>
      <c r="I5" s="2" t="s">
        <v>22</v>
      </c>
      <c r="J5" s="2" t="s">
        <v>37</v>
      </c>
      <c r="K5" s="4" t="str">
        <f aca="false">HYPERLINK("components-cad/" &amp; J5)</f>
        <v>components-cad/ISO4762_M3x10.FCStd</v>
      </c>
      <c r="L5" s="10" t="s">
        <v>24</v>
      </c>
      <c r="M5" s="1" t="str">
        <f aca="false">IFERROR(VLOOKUP(L5, suppliers!$A$1:$Z$1000, 2, 0), "Enter a valid uuid in the supplier_uuid column")</f>
        <v>Adolf Würth GmbH &amp; Co. KG</v>
      </c>
      <c r="N5" s="5" t="n">
        <v>0.1</v>
      </c>
      <c r="O5" s="2" t="s">
        <v>25</v>
      </c>
    </row>
    <row r="6" customFormat="false" ht="12.8" hidden="false" customHeight="false" outlineLevel="0" collapsed="false">
      <c r="A6" s="1" t="s">
        <v>38</v>
      </c>
      <c r="B6" s="10" t="s">
        <v>16</v>
      </c>
      <c r="C6" s="3" t="s">
        <v>39</v>
      </c>
      <c r="D6" s="2" t="s">
        <v>40</v>
      </c>
      <c r="E6" s="2" t="s">
        <v>19</v>
      </c>
      <c r="F6" s="2" t="n">
        <v>1</v>
      </c>
      <c r="G6" s="2" t="s">
        <v>20</v>
      </c>
      <c r="H6" s="2" t="s">
        <v>21</v>
      </c>
      <c r="I6" s="2" t="s">
        <v>22</v>
      </c>
      <c r="J6" s="2" t="s">
        <v>41</v>
      </c>
      <c r="K6" s="4" t="str">
        <f aca="false">HYPERLINK("components-cad/" &amp; J6)</f>
        <v>components-cad/ISO4762_M3x12.FCStd</v>
      </c>
      <c r="L6" s="10" t="s">
        <v>24</v>
      </c>
      <c r="M6" s="1" t="str">
        <f aca="false">IFERROR(VLOOKUP(L6, suppliers!$A$1:$Z$1000, 2, 0), "Enter a valid uuid in the supplier_uuid column")</f>
        <v>Adolf Würth GmbH &amp; Co. KG</v>
      </c>
      <c r="N6" s="5" t="n">
        <v>0.1</v>
      </c>
      <c r="O6" s="2" t="s">
        <v>25</v>
      </c>
    </row>
    <row r="7" customFormat="false" ht="12.8" hidden="false" customHeight="false" outlineLevel="0" collapsed="false">
      <c r="A7" s="1" t="s">
        <v>42</v>
      </c>
      <c r="B7" s="10" t="s">
        <v>16</v>
      </c>
      <c r="C7" s="3" t="s">
        <v>43</v>
      </c>
      <c r="D7" s="2" t="s">
        <v>44</v>
      </c>
      <c r="E7" s="2" t="s">
        <v>19</v>
      </c>
      <c r="F7" s="2" t="n">
        <v>1</v>
      </c>
      <c r="G7" s="2" t="s">
        <v>20</v>
      </c>
      <c r="H7" s="2" t="s">
        <v>21</v>
      </c>
      <c r="I7" s="2" t="s">
        <v>22</v>
      </c>
      <c r="J7" s="2" t="s">
        <v>45</v>
      </c>
      <c r="K7" s="4" t="str">
        <f aca="false">HYPERLINK("components-cad/" &amp; J7)</f>
        <v>components-cad/ISO4762_M3x14.FCStd</v>
      </c>
      <c r="L7" s="10" t="s">
        <v>24</v>
      </c>
      <c r="M7" s="1" t="str">
        <f aca="false">IFERROR(VLOOKUP(L7, suppliers!$A$1:$Z$1000, 2, 0), "Enter a valid uuid in the supplier_uuid column")</f>
        <v>Adolf Würth GmbH &amp; Co. KG</v>
      </c>
      <c r="N7" s="5" t="n">
        <v>0.1</v>
      </c>
      <c r="O7" s="2" t="s">
        <v>25</v>
      </c>
    </row>
    <row r="8" customFormat="false" ht="12.8" hidden="false" customHeight="false" outlineLevel="0" collapsed="false">
      <c r="A8" s="1" t="s">
        <v>46</v>
      </c>
      <c r="B8" s="10" t="s">
        <v>16</v>
      </c>
      <c r="C8" s="3" t="s">
        <v>47</v>
      </c>
      <c r="D8" s="2" t="s">
        <v>48</v>
      </c>
      <c r="E8" s="2" t="s">
        <v>19</v>
      </c>
      <c r="F8" s="2" t="n">
        <v>1</v>
      </c>
      <c r="G8" s="2" t="s">
        <v>20</v>
      </c>
      <c r="H8" s="2" t="s">
        <v>21</v>
      </c>
      <c r="I8" s="2" t="s">
        <v>22</v>
      </c>
      <c r="J8" s="2" t="s">
        <v>49</v>
      </c>
      <c r="K8" s="4" t="str">
        <f aca="false">HYPERLINK("components-cad/" &amp; J8)</f>
        <v>components-cad/ISO4762_M3x16.FCStd</v>
      </c>
      <c r="L8" s="10" t="s">
        <v>24</v>
      </c>
      <c r="M8" s="1" t="str">
        <f aca="false">IFERROR(VLOOKUP(L8, suppliers!$A$1:$Z$1000, 2, 0), "Enter a valid uuid in the supplier_uuid column")</f>
        <v>Adolf Würth GmbH &amp; Co. KG</v>
      </c>
      <c r="N8" s="5" t="n">
        <v>0.1</v>
      </c>
      <c r="O8" s="2" t="s">
        <v>25</v>
      </c>
    </row>
    <row r="9" customFormat="false" ht="12.8" hidden="false" customHeight="false" outlineLevel="0" collapsed="false">
      <c r="A9" s="1" t="s">
        <v>50</v>
      </c>
      <c r="B9" s="10" t="s">
        <v>16</v>
      </c>
      <c r="C9" s="3" t="s">
        <v>51</v>
      </c>
      <c r="D9" s="2" t="s">
        <v>52</v>
      </c>
      <c r="E9" s="2" t="s">
        <v>19</v>
      </c>
      <c r="F9" s="2" t="n">
        <v>1</v>
      </c>
      <c r="G9" s="2" t="s">
        <v>20</v>
      </c>
      <c r="H9" s="2" t="s">
        <v>21</v>
      </c>
      <c r="I9" s="2" t="s">
        <v>22</v>
      </c>
      <c r="J9" s="2" t="s">
        <v>53</v>
      </c>
      <c r="K9" s="4" t="str">
        <f aca="false">HYPERLINK("components-cad/" &amp; J9)</f>
        <v>components-cad/ISO4762_M3x20.FCStd</v>
      </c>
      <c r="L9" s="10" t="s">
        <v>24</v>
      </c>
      <c r="M9" s="1" t="str">
        <f aca="false">IFERROR(VLOOKUP(L9, suppliers!$A$1:$Z$1000, 2, 0), "Enter a valid uuid in the supplier_uuid column")</f>
        <v>Adolf Würth GmbH &amp; Co. KG</v>
      </c>
      <c r="N9" s="5" t="n">
        <v>0.1</v>
      </c>
      <c r="O9" s="2" t="s">
        <v>25</v>
      </c>
    </row>
    <row r="10" customFormat="false" ht="12.8" hidden="false" customHeight="false" outlineLevel="0" collapsed="false">
      <c r="A10" s="1" t="s">
        <v>54</v>
      </c>
      <c r="B10" s="10" t="s">
        <v>16</v>
      </c>
      <c r="C10" s="3" t="s">
        <v>55</v>
      </c>
      <c r="D10" s="2" t="s">
        <v>56</v>
      </c>
      <c r="E10" s="2" t="s">
        <v>19</v>
      </c>
      <c r="F10" s="2" t="n">
        <v>1</v>
      </c>
      <c r="G10" s="2" t="s">
        <v>20</v>
      </c>
      <c r="H10" s="2" t="s">
        <v>21</v>
      </c>
      <c r="I10" s="2" t="s">
        <v>22</v>
      </c>
      <c r="J10" s="2" t="s">
        <v>57</v>
      </c>
      <c r="K10" s="4" t="str">
        <f aca="false">HYPERLINK("components-cad/" &amp; J10)</f>
        <v>components-cad/ISO4762_M3x25.FCStd</v>
      </c>
      <c r="L10" s="10" t="s">
        <v>24</v>
      </c>
      <c r="M10" s="1" t="str">
        <f aca="false">IFERROR(VLOOKUP(L10, suppliers!$A$1:$Z$1000, 2, 0), "Enter a valid uuid in the supplier_uuid column")</f>
        <v>Adolf Würth GmbH &amp; Co. KG</v>
      </c>
      <c r="N10" s="5" t="n">
        <v>0.1</v>
      </c>
      <c r="O10" s="2" t="s">
        <v>25</v>
      </c>
    </row>
    <row r="11" customFormat="false" ht="12.8" hidden="false" customHeight="false" outlineLevel="0" collapsed="false">
      <c r="A11" s="1" t="s">
        <v>58</v>
      </c>
      <c r="B11" s="10" t="s">
        <v>16</v>
      </c>
      <c r="C11" s="3" t="s">
        <v>59</v>
      </c>
      <c r="D11" s="2" t="s">
        <v>60</v>
      </c>
      <c r="E11" s="2" t="s">
        <v>19</v>
      </c>
      <c r="F11" s="2" t="n">
        <v>1</v>
      </c>
      <c r="G11" s="2" t="s">
        <v>20</v>
      </c>
      <c r="H11" s="2" t="s">
        <v>21</v>
      </c>
      <c r="I11" s="2" t="s">
        <v>22</v>
      </c>
      <c r="J11" s="2" t="s">
        <v>61</v>
      </c>
      <c r="K11" s="4" t="str">
        <f aca="false">HYPERLINK("components-cad/" &amp; J11)</f>
        <v>components-cad/ISO4762_M3x30.FCStd</v>
      </c>
      <c r="L11" s="10" t="s">
        <v>24</v>
      </c>
      <c r="M11" s="1" t="str">
        <f aca="false">IFERROR(VLOOKUP(L11, suppliers!$A$1:$Z$1000, 2, 0), "Enter a valid uuid in the supplier_uuid column")</f>
        <v>Adolf Würth GmbH &amp; Co. KG</v>
      </c>
      <c r="N11" s="5" t="n">
        <v>0.1</v>
      </c>
      <c r="O11" s="2" t="s">
        <v>25</v>
      </c>
    </row>
    <row r="12" customFormat="false" ht="12.8" hidden="false" customHeight="false" outlineLevel="0" collapsed="false">
      <c r="A12" s="1" t="s">
        <v>62</v>
      </c>
      <c r="B12" s="10" t="s">
        <v>16</v>
      </c>
      <c r="C12" s="3" t="s">
        <v>63</v>
      </c>
      <c r="D12" s="2" t="s">
        <v>64</v>
      </c>
      <c r="E12" s="2" t="s">
        <v>19</v>
      </c>
      <c r="F12" s="2" t="n">
        <v>1</v>
      </c>
      <c r="G12" s="2" t="s">
        <v>20</v>
      </c>
      <c r="H12" s="2" t="s">
        <v>21</v>
      </c>
      <c r="I12" s="2" t="s">
        <v>22</v>
      </c>
      <c r="J12" s="2" t="s">
        <v>65</v>
      </c>
      <c r="K12" s="4" t="str">
        <f aca="false">HYPERLINK("components-cad/" &amp; J12)</f>
        <v>components-cad/ISO4762_M4x6.FCStd</v>
      </c>
      <c r="L12" s="10" t="s">
        <v>24</v>
      </c>
      <c r="M12" s="1" t="str">
        <f aca="false">IFERROR(VLOOKUP(L12, suppliers!$A$1:$Z$1000, 2, 0), "Enter a valid uuid in the supplier_uuid column")</f>
        <v>Adolf Würth GmbH &amp; Co. KG</v>
      </c>
      <c r="N12" s="5" t="n">
        <v>0.1</v>
      </c>
      <c r="O12" s="2" t="s">
        <v>25</v>
      </c>
    </row>
    <row r="13" customFormat="false" ht="12.8" hidden="false" customHeight="false" outlineLevel="0" collapsed="false">
      <c r="A13" s="1" t="s">
        <v>66</v>
      </c>
      <c r="B13" s="10" t="s">
        <v>16</v>
      </c>
      <c r="C13" s="3" t="s">
        <v>67</v>
      </c>
      <c r="D13" s="2" t="s">
        <v>68</v>
      </c>
      <c r="E13" s="10" t="s">
        <v>19</v>
      </c>
      <c r="F13" s="2" t="n">
        <v>1</v>
      </c>
      <c r="G13" s="2" t="s">
        <v>20</v>
      </c>
      <c r="H13" s="2" t="s">
        <v>21</v>
      </c>
      <c r="I13" s="2" t="s">
        <v>22</v>
      </c>
      <c r="J13" s="2" t="s">
        <v>69</v>
      </c>
      <c r="K13" s="4" t="str">
        <f aca="false">HYPERLINK("components-cad/" &amp; J13)</f>
        <v>components-cad/ISO4762_M4x8.FCStd</v>
      </c>
      <c r="L13" s="10" t="s">
        <v>24</v>
      </c>
      <c r="M13" s="1" t="str">
        <f aca="false">IFERROR(VLOOKUP(L13, suppliers!$A$1:$Z$1000, 2, 0), "Enter a valid uuid in the supplier_uuid column")</f>
        <v>Adolf Würth GmbH &amp; Co. KG</v>
      </c>
      <c r="N13" s="5" t="n">
        <v>0.1</v>
      </c>
      <c r="O13" s="2" t="s">
        <v>25</v>
      </c>
    </row>
    <row r="14" customFormat="false" ht="12.8" hidden="false" customHeight="false" outlineLevel="0" collapsed="false">
      <c r="A14" s="1" t="s">
        <v>70</v>
      </c>
      <c r="B14" s="10" t="s">
        <v>16</v>
      </c>
      <c r="C14" s="3" t="s">
        <v>71</v>
      </c>
      <c r="D14" s="2" t="s">
        <v>72</v>
      </c>
      <c r="E14" s="2" t="s">
        <v>19</v>
      </c>
      <c r="F14" s="2" t="n">
        <v>1</v>
      </c>
      <c r="G14" s="2" t="s">
        <v>20</v>
      </c>
      <c r="H14" s="2" t="s">
        <v>21</v>
      </c>
      <c r="I14" s="2" t="s">
        <v>22</v>
      </c>
      <c r="J14" s="2" t="s">
        <v>73</v>
      </c>
      <c r="K14" s="4" t="str">
        <f aca="false">HYPERLINK("components-cad/" &amp; J14)</f>
        <v>components-cad/ISO4762_M4x10.FCStd</v>
      </c>
      <c r="L14" s="10" t="s">
        <v>24</v>
      </c>
      <c r="M14" s="1" t="str">
        <f aca="false">IFERROR(VLOOKUP(L14, suppliers!$A$1:$Z$1000, 2, 0), "Enter a valid uuid in the supplier_uuid column")</f>
        <v>Adolf Würth GmbH &amp; Co. KG</v>
      </c>
      <c r="N14" s="5" t="n">
        <v>0.1</v>
      </c>
      <c r="O14" s="2" t="s">
        <v>25</v>
      </c>
    </row>
    <row r="15" customFormat="false" ht="12.8" hidden="false" customHeight="false" outlineLevel="0" collapsed="false">
      <c r="A15" s="1" t="s">
        <v>74</v>
      </c>
      <c r="B15" s="10" t="s">
        <v>16</v>
      </c>
      <c r="C15" s="3" t="s">
        <v>75</v>
      </c>
      <c r="D15" s="2" t="s">
        <v>76</v>
      </c>
      <c r="E15" s="2" t="s">
        <v>19</v>
      </c>
      <c r="F15" s="2" t="n">
        <v>1</v>
      </c>
      <c r="G15" s="2" t="s">
        <v>20</v>
      </c>
      <c r="H15" s="2" t="s">
        <v>21</v>
      </c>
      <c r="I15" s="2" t="s">
        <v>22</v>
      </c>
      <c r="J15" s="2" t="s">
        <v>77</v>
      </c>
      <c r="K15" s="4" t="str">
        <f aca="false">HYPERLINK("components-cad/" &amp; J15)</f>
        <v>components-cad/ISO4762_M4x12.FCStd</v>
      </c>
      <c r="L15" s="10" t="s">
        <v>24</v>
      </c>
      <c r="M15" s="1" t="str">
        <f aca="false">IFERROR(VLOOKUP(L15, suppliers!$A$1:$Z$1000, 2, 0), "Enter a valid uuid in the supplier_uuid column")</f>
        <v>Adolf Würth GmbH &amp; Co. KG</v>
      </c>
      <c r="N15" s="5" t="n">
        <v>0.1</v>
      </c>
      <c r="O15" s="2" t="s">
        <v>25</v>
      </c>
    </row>
    <row r="16" customFormat="false" ht="12.8" hidden="false" customHeight="false" outlineLevel="0" collapsed="false">
      <c r="A16" s="1" t="s">
        <v>78</v>
      </c>
      <c r="B16" s="10" t="s">
        <v>16</v>
      </c>
      <c r="C16" s="3" t="s">
        <v>79</v>
      </c>
      <c r="D16" s="2" t="s">
        <v>80</v>
      </c>
      <c r="E16" s="2" t="s">
        <v>19</v>
      </c>
      <c r="F16" s="2" t="n">
        <v>1</v>
      </c>
      <c r="G16" s="2" t="s">
        <v>20</v>
      </c>
      <c r="H16" s="2" t="s">
        <v>21</v>
      </c>
      <c r="I16" s="2" t="s">
        <v>22</v>
      </c>
      <c r="J16" s="2" t="s">
        <v>81</v>
      </c>
      <c r="K16" s="4" t="str">
        <f aca="false">HYPERLINK("components-cad/" &amp; J16)</f>
        <v>components-cad/ISO4762_M4x14.FCStd</v>
      </c>
      <c r="L16" s="10" t="s">
        <v>24</v>
      </c>
      <c r="M16" s="1" t="str">
        <f aca="false">IFERROR(VLOOKUP(L16, suppliers!$A$1:$Z$1000, 2, 0), "Enter a valid uuid in the supplier_uuid column")</f>
        <v>Adolf Würth GmbH &amp; Co. KG</v>
      </c>
      <c r="N16" s="5" t="n">
        <v>0.1</v>
      </c>
      <c r="O16" s="2" t="s">
        <v>25</v>
      </c>
    </row>
    <row r="17" customFormat="false" ht="12.8" hidden="false" customHeight="false" outlineLevel="0" collapsed="false">
      <c r="A17" s="1" t="s">
        <v>82</v>
      </c>
      <c r="B17" s="10" t="s">
        <v>16</v>
      </c>
      <c r="C17" s="3" t="s">
        <v>83</v>
      </c>
      <c r="D17" s="2" t="s">
        <v>84</v>
      </c>
      <c r="E17" s="2" t="s">
        <v>19</v>
      </c>
      <c r="F17" s="2" t="n">
        <v>1</v>
      </c>
      <c r="G17" s="2" t="s">
        <v>20</v>
      </c>
      <c r="H17" s="2" t="s">
        <v>21</v>
      </c>
      <c r="I17" s="2" t="s">
        <v>22</v>
      </c>
      <c r="J17" s="2" t="s">
        <v>85</v>
      </c>
      <c r="K17" s="4" t="str">
        <f aca="false">HYPERLINK("components-cad/" &amp; J17)</f>
        <v>components-cad/ISO4762_M4x16.FCStd</v>
      </c>
      <c r="L17" s="10" t="s">
        <v>24</v>
      </c>
      <c r="M17" s="1" t="str">
        <f aca="false">IFERROR(VLOOKUP(L17, suppliers!$A$1:$Z$1000, 2, 0), "Enter a valid uuid in the supplier_uuid column")</f>
        <v>Adolf Würth GmbH &amp; Co. KG</v>
      </c>
      <c r="N17" s="5" t="n">
        <v>0.1</v>
      </c>
      <c r="O17" s="2" t="s">
        <v>25</v>
      </c>
    </row>
    <row r="18" customFormat="false" ht="12.8" hidden="false" customHeight="false" outlineLevel="0" collapsed="false">
      <c r="A18" s="1" t="s">
        <v>86</v>
      </c>
      <c r="B18" s="10" t="s">
        <v>16</v>
      </c>
      <c r="C18" s="3" t="s">
        <v>87</v>
      </c>
      <c r="D18" s="2" t="s">
        <v>88</v>
      </c>
      <c r="E18" s="2" t="s">
        <v>19</v>
      </c>
      <c r="F18" s="2" t="n">
        <v>1</v>
      </c>
      <c r="G18" s="2" t="s">
        <v>20</v>
      </c>
      <c r="H18" s="2" t="s">
        <v>21</v>
      </c>
      <c r="I18" s="2" t="s">
        <v>22</v>
      </c>
      <c r="J18" s="2" t="s">
        <v>89</v>
      </c>
      <c r="K18" s="4" t="str">
        <f aca="false">HYPERLINK("components-cad/" &amp; J18)</f>
        <v>components-cad/ISO4762_M4x20.FCStd</v>
      </c>
      <c r="L18" s="10" t="s">
        <v>24</v>
      </c>
      <c r="M18" s="1" t="str">
        <f aca="false">IFERROR(VLOOKUP(L18, suppliers!$A$1:$Z$1000, 2, 0), "Enter a valid uuid in the supplier_uuid column")</f>
        <v>Adolf Würth GmbH &amp; Co. KG</v>
      </c>
      <c r="N18" s="5" t="n">
        <v>0.1</v>
      </c>
      <c r="O18" s="2" t="s">
        <v>25</v>
      </c>
    </row>
    <row r="19" customFormat="false" ht="12.8" hidden="false" customHeight="false" outlineLevel="0" collapsed="false">
      <c r="A19" s="1" t="s">
        <v>90</v>
      </c>
      <c r="B19" s="10" t="s">
        <v>16</v>
      </c>
      <c r="C19" s="3" t="s">
        <v>91</v>
      </c>
      <c r="D19" s="2" t="s">
        <v>92</v>
      </c>
      <c r="E19" s="2" t="s">
        <v>19</v>
      </c>
      <c r="F19" s="2" t="n">
        <v>1</v>
      </c>
      <c r="G19" s="2" t="s">
        <v>20</v>
      </c>
      <c r="H19" s="2" t="s">
        <v>21</v>
      </c>
      <c r="I19" s="2" t="s">
        <v>22</v>
      </c>
      <c r="J19" s="2" t="s">
        <v>93</v>
      </c>
      <c r="K19" s="4" t="str">
        <f aca="false">HYPERLINK("components-cad/" &amp; J19)</f>
        <v>components-cad/ISO4762_M4x25.FCStd</v>
      </c>
      <c r="L19" s="10" t="s">
        <v>24</v>
      </c>
      <c r="M19" s="1" t="str">
        <f aca="false">IFERROR(VLOOKUP(L19, suppliers!$A$1:$Z$1000, 2, 0), "Enter a valid uuid in the supplier_uuid column")</f>
        <v>Adolf Würth GmbH &amp; Co. KG</v>
      </c>
      <c r="N19" s="5" t="n">
        <v>0.1</v>
      </c>
      <c r="O19" s="2" t="s">
        <v>25</v>
      </c>
    </row>
    <row r="20" customFormat="false" ht="12.8" hidden="false" customHeight="false" outlineLevel="0" collapsed="false">
      <c r="A20" s="1" t="s">
        <v>94</v>
      </c>
      <c r="B20" s="10" t="s">
        <v>16</v>
      </c>
      <c r="C20" s="3" t="s">
        <v>95</v>
      </c>
      <c r="D20" s="2" t="s">
        <v>96</v>
      </c>
      <c r="E20" s="2" t="s">
        <v>19</v>
      </c>
      <c r="F20" s="2" t="n">
        <v>1</v>
      </c>
      <c r="G20" s="2" t="s">
        <v>20</v>
      </c>
      <c r="H20" s="2" t="s">
        <v>21</v>
      </c>
      <c r="I20" s="2" t="s">
        <v>22</v>
      </c>
      <c r="J20" s="2" t="s">
        <v>97</v>
      </c>
      <c r="K20" s="4" t="str">
        <f aca="false">HYPERLINK("components-cad/" &amp; J20)</f>
        <v>components-cad/ISO4762_M4x30.FCStd</v>
      </c>
      <c r="L20" s="10" t="s">
        <v>24</v>
      </c>
      <c r="M20" s="1" t="str">
        <f aca="false">IFERROR(VLOOKUP(L20, suppliers!$A$1:$Z$1000, 2, 0), "Enter a valid uuid in the supplier_uuid column")</f>
        <v>Adolf Würth GmbH &amp; Co. KG</v>
      </c>
      <c r="N20" s="5" t="n">
        <v>0.1</v>
      </c>
      <c r="O20" s="2" t="s">
        <v>25</v>
      </c>
    </row>
    <row r="21" customFormat="false" ht="12.8" hidden="false" customHeight="false" outlineLevel="0" collapsed="false">
      <c r="A21" s="1" t="s">
        <v>98</v>
      </c>
      <c r="B21" s="10" t="s">
        <v>16</v>
      </c>
      <c r="C21" s="3" t="s">
        <v>99</v>
      </c>
      <c r="D21" s="2" t="s">
        <v>100</v>
      </c>
      <c r="E21" s="2" t="s">
        <v>19</v>
      </c>
      <c r="F21" s="2" t="n">
        <v>1</v>
      </c>
      <c r="G21" s="2" t="s">
        <v>20</v>
      </c>
      <c r="H21" s="2" t="s">
        <v>21</v>
      </c>
      <c r="I21" s="2" t="s">
        <v>22</v>
      </c>
      <c r="J21" s="2" t="s">
        <v>101</v>
      </c>
      <c r="K21" s="4" t="str">
        <f aca="false">HYPERLINK("components-cad/" &amp; J21)</f>
        <v>components-cad/ISO4762_M4x35.FCStd</v>
      </c>
      <c r="L21" s="10" t="s">
        <v>24</v>
      </c>
      <c r="M21" s="1" t="str">
        <f aca="false">IFERROR(VLOOKUP(L21, suppliers!$A$1:$Z$1000, 2, 0), "Enter a valid uuid in the supplier_uuid column")</f>
        <v>Adolf Würth GmbH &amp; Co. KG</v>
      </c>
      <c r="N21" s="5" t="n">
        <v>0.1</v>
      </c>
      <c r="O21" s="2" t="s">
        <v>25</v>
      </c>
    </row>
    <row r="22" customFormat="false" ht="12.8" hidden="false" customHeight="false" outlineLevel="0" collapsed="false">
      <c r="A22" s="1" t="s">
        <v>102</v>
      </c>
      <c r="B22" s="10" t="s">
        <v>16</v>
      </c>
      <c r="C22" s="3" t="s">
        <v>103</v>
      </c>
      <c r="D22" s="2" t="s">
        <v>104</v>
      </c>
      <c r="E22" s="2" t="s">
        <v>19</v>
      </c>
      <c r="F22" s="2" t="n">
        <v>1</v>
      </c>
      <c r="G22" s="2" t="s">
        <v>20</v>
      </c>
      <c r="H22" s="2" t="s">
        <v>21</v>
      </c>
      <c r="I22" s="2" t="s">
        <v>22</v>
      </c>
      <c r="J22" s="2" t="s">
        <v>105</v>
      </c>
      <c r="K22" s="4" t="str">
        <f aca="false">HYPERLINK("components-cad/" &amp; J22)</f>
        <v>components-cad/ISO4762_M4x40.FCStd</v>
      </c>
      <c r="L22" s="10" t="s">
        <v>24</v>
      </c>
      <c r="M22" s="1" t="str">
        <f aca="false">IFERROR(VLOOKUP(L22, suppliers!$A$1:$Z$1000, 2, 0), "Enter a valid uuid in the supplier_uuid column")</f>
        <v>Adolf Würth GmbH &amp; Co. KG</v>
      </c>
      <c r="N22" s="5" t="n">
        <v>0.1</v>
      </c>
      <c r="O22" s="2" t="s">
        <v>25</v>
      </c>
    </row>
    <row r="23" customFormat="false" ht="12.8" hidden="false" customHeight="false" outlineLevel="0" collapsed="false">
      <c r="A23" s="1" t="s">
        <v>106</v>
      </c>
      <c r="B23" s="10" t="s">
        <v>16</v>
      </c>
      <c r="C23" s="3" t="s">
        <v>107</v>
      </c>
      <c r="D23" s="2" t="s">
        <v>108</v>
      </c>
      <c r="E23" s="2" t="s">
        <v>19</v>
      </c>
      <c r="F23" s="2" t="n">
        <v>1</v>
      </c>
      <c r="G23" s="2" t="s">
        <v>20</v>
      </c>
      <c r="H23" s="2" t="s">
        <v>21</v>
      </c>
      <c r="I23" s="2" t="s">
        <v>22</v>
      </c>
      <c r="J23" s="2" t="s">
        <v>109</v>
      </c>
      <c r="K23" s="4" t="str">
        <f aca="false">HYPERLINK("components-cad/" &amp; J23)</f>
        <v>components-cad/ISO4762_M5x8.FCStd</v>
      </c>
      <c r="L23" s="10" t="s">
        <v>24</v>
      </c>
      <c r="M23" s="1" t="str">
        <f aca="false">IFERROR(VLOOKUP(L23, suppliers!$A$1:$Z$1000, 2, 0), "Enter a valid uuid in the supplier_uuid column")</f>
        <v>Adolf Würth GmbH &amp; Co. KG</v>
      </c>
      <c r="N23" s="5" t="n">
        <v>0.1</v>
      </c>
      <c r="O23" s="2" t="s">
        <v>25</v>
      </c>
    </row>
    <row r="24" customFormat="false" ht="12.8" hidden="false" customHeight="false" outlineLevel="0" collapsed="false">
      <c r="A24" s="1" t="s">
        <v>110</v>
      </c>
      <c r="B24" s="10" t="s">
        <v>16</v>
      </c>
      <c r="C24" s="3" t="s">
        <v>111</v>
      </c>
      <c r="D24" s="2" t="s">
        <v>112</v>
      </c>
      <c r="E24" s="2" t="s">
        <v>19</v>
      </c>
      <c r="F24" s="2" t="n">
        <v>1</v>
      </c>
      <c r="G24" s="2" t="s">
        <v>20</v>
      </c>
      <c r="H24" s="2" t="s">
        <v>21</v>
      </c>
      <c r="I24" s="2" t="s">
        <v>22</v>
      </c>
      <c r="J24" s="2" t="s">
        <v>113</v>
      </c>
      <c r="K24" s="4" t="str">
        <f aca="false">HYPERLINK("components-cad/" &amp; J24)</f>
        <v>components-cad/ISO4762_M5x10.FCStd</v>
      </c>
      <c r="L24" s="10" t="s">
        <v>24</v>
      </c>
      <c r="M24" s="1" t="str">
        <f aca="false">IFERROR(VLOOKUP(L24, suppliers!$A$1:$Z$1000, 2, 0), "Enter a valid uuid in the supplier_uuid column")</f>
        <v>Adolf Würth GmbH &amp; Co. KG</v>
      </c>
      <c r="N24" s="5" t="n">
        <v>0.1</v>
      </c>
      <c r="O24" s="2" t="s">
        <v>25</v>
      </c>
    </row>
    <row r="25" customFormat="false" ht="12.8" hidden="false" customHeight="false" outlineLevel="0" collapsed="false">
      <c r="A25" s="1" t="s">
        <v>114</v>
      </c>
      <c r="B25" s="10" t="s">
        <v>16</v>
      </c>
      <c r="C25" s="3" t="s">
        <v>115</v>
      </c>
      <c r="D25" s="2" t="s">
        <v>116</v>
      </c>
      <c r="E25" s="2" t="s">
        <v>19</v>
      </c>
      <c r="F25" s="2" t="n">
        <v>1</v>
      </c>
      <c r="G25" s="2" t="s">
        <v>20</v>
      </c>
      <c r="H25" s="2" t="s">
        <v>21</v>
      </c>
      <c r="I25" s="2" t="s">
        <v>22</v>
      </c>
      <c r="J25" s="2" t="s">
        <v>117</v>
      </c>
      <c r="K25" s="4" t="str">
        <f aca="false">HYPERLINK("components-cad/" &amp; J25)</f>
        <v>components-cad/ISO4762_M5x12.FCStd</v>
      </c>
      <c r="L25" s="10" t="s">
        <v>24</v>
      </c>
      <c r="M25" s="1" t="str">
        <f aca="false">IFERROR(VLOOKUP(L25, suppliers!$A$1:$Z$1000, 2, 0), "Enter a valid uuid in the supplier_uuid column")</f>
        <v>Adolf Würth GmbH &amp; Co. KG</v>
      </c>
      <c r="N25" s="5" t="n">
        <v>0.1</v>
      </c>
      <c r="O25" s="2" t="s">
        <v>25</v>
      </c>
    </row>
    <row r="26" customFormat="false" ht="12.8" hidden="false" customHeight="false" outlineLevel="0" collapsed="false">
      <c r="A26" s="1" t="s">
        <v>118</v>
      </c>
      <c r="B26" s="10" t="s">
        <v>16</v>
      </c>
      <c r="C26" s="3" t="s">
        <v>119</v>
      </c>
      <c r="D26" s="2" t="s">
        <v>120</v>
      </c>
      <c r="E26" s="2" t="s">
        <v>19</v>
      </c>
      <c r="F26" s="2" t="n">
        <v>1</v>
      </c>
      <c r="G26" s="2" t="s">
        <v>20</v>
      </c>
      <c r="H26" s="2" t="s">
        <v>21</v>
      </c>
      <c r="I26" s="2" t="s">
        <v>22</v>
      </c>
      <c r="J26" s="2" t="s">
        <v>121</v>
      </c>
      <c r="K26" s="4" t="str">
        <f aca="false">HYPERLINK("components-cad/" &amp; J26)</f>
        <v>components-cad/ISO4762_M5x14.FCStd</v>
      </c>
      <c r="L26" s="10" t="s">
        <v>24</v>
      </c>
      <c r="M26" s="1" t="str">
        <f aca="false">IFERROR(VLOOKUP(L26, suppliers!$A$1:$Z$1000, 2, 0), "Enter a valid uuid in the supplier_uuid column")</f>
        <v>Adolf Würth GmbH &amp; Co. KG</v>
      </c>
      <c r="N26" s="5" t="n">
        <v>0.1</v>
      </c>
      <c r="O26" s="2" t="s">
        <v>25</v>
      </c>
    </row>
    <row r="27" customFormat="false" ht="12.8" hidden="false" customHeight="false" outlineLevel="0" collapsed="false">
      <c r="A27" s="1" t="s">
        <v>122</v>
      </c>
      <c r="B27" s="10" t="s">
        <v>16</v>
      </c>
      <c r="C27" s="3" t="s">
        <v>123</v>
      </c>
      <c r="D27" s="2" t="s">
        <v>124</v>
      </c>
      <c r="E27" s="2" t="s">
        <v>19</v>
      </c>
      <c r="F27" s="2" t="n">
        <v>1</v>
      </c>
      <c r="G27" s="2" t="s">
        <v>20</v>
      </c>
      <c r="H27" s="2" t="s">
        <v>21</v>
      </c>
      <c r="I27" s="2" t="s">
        <v>22</v>
      </c>
      <c r="J27" s="2" t="s">
        <v>125</v>
      </c>
      <c r="K27" s="4" t="str">
        <f aca="false">HYPERLINK("components-cad/" &amp; J27)</f>
        <v>components-cad/ISO4762_M5x16.FCStd</v>
      </c>
      <c r="L27" s="10" t="s">
        <v>24</v>
      </c>
      <c r="M27" s="1" t="str">
        <f aca="false">IFERROR(VLOOKUP(L27, suppliers!$A$1:$Z$1000, 2, 0), "Enter a valid uuid in the supplier_uuid column")</f>
        <v>Adolf Würth GmbH &amp; Co. KG</v>
      </c>
      <c r="N27" s="5" t="n">
        <v>0.1</v>
      </c>
      <c r="O27" s="2" t="s">
        <v>25</v>
      </c>
    </row>
    <row r="28" customFormat="false" ht="12.8" hidden="false" customHeight="false" outlineLevel="0" collapsed="false">
      <c r="A28" s="1" t="s">
        <v>126</v>
      </c>
      <c r="B28" s="10" t="s">
        <v>16</v>
      </c>
      <c r="C28" s="3" t="s">
        <v>127</v>
      </c>
      <c r="D28" s="2" t="s">
        <v>128</v>
      </c>
      <c r="E28" s="2" t="s">
        <v>19</v>
      </c>
      <c r="F28" s="2" t="n">
        <v>1</v>
      </c>
      <c r="G28" s="2" t="s">
        <v>20</v>
      </c>
      <c r="H28" s="2" t="s">
        <v>21</v>
      </c>
      <c r="I28" s="2" t="s">
        <v>22</v>
      </c>
      <c r="J28" s="2" t="s">
        <v>129</v>
      </c>
      <c r="K28" s="4" t="str">
        <f aca="false">HYPERLINK("components-cad/" &amp; J28)</f>
        <v>components-cad/ISO4762_M5x20.FCStd</v>
      </c>
      <c r="L28" s="10" t="s">
        <v>24</v>
      </c>
      <c r="M28" s="1" t="str">
        <f aca="false">IFERROR(VLOOKUP(L28, suppliers!$A$1:$Z$1000, 2, 0), "Enter a valid uuid in the supplier_uuid column")</f>
        <v>Adolf Würth GmbH &amp; Co. KG</v>
      </c>
      <c r="N28" s="5" t="n">
        <v>0.1</v>
      </c>
      <c r="O28" s="2" t="s">
        <v>25</v>
      </c>
    </row>
    <row r="29" customFormat="false" ht="12.8" hidden="false" customHeight="false" outlineLevel="0" collapsed="false">
      <c r="A29" s="1" t="s">
        <v>130</v>
      </c>
      <c r="B29" s="10" t="s">
        <v>16</v>
      </c>
      <c r="C29" s="3" t="s">
        <v>131</v>
      </c>
      <c r="D29" s="2" t="s">
        <v>132</v>
      </c>
      <c r="E29" s="2" t="s">
        <v>19</v>
      </c>
      <c r="F29" s="2" t="n">
        <v>1</v>
      </c>
      <c r="G29" s="2" t="s">
        <v>20</v>
      </c>
      <c r="H29" s="2" t="s">
        <v>21</v>
      </c>
      <c r="I29" s="2" t="s">
        <v>22</v>
      </c>
      <c r="J29" s="2" t="s">
        <v>133</v>
      </c>
      <c r="K29" s="4" t="str">
        <f aca="false">HYPERLINK("components-cad/" &amp; J29)</f>
        <v>components-cad/ISO4762_M5x25.FCStd</v>
      </c>
      <c r="L29" s="10" t="s">
        <v>24</v>
      </c>
      <c r="M29" s="1" t="str">
        <f aca="false">IFERROR(VLOOKUP(L29, suppliers!$A$1:$Z$1000, 2, 0), "Enter a valid uuid in the supplier_uuid column")</f>
        <v>Adolf Würth GmbH &amp; Co. KG</v>
      </c>
      <c r="N29" s="5" t="n">
        <v>0.1</v>
      </c>
      <c r="O29" s="2" t="s">
        <v>25</v>
      </c>
    </row>
    <row r="30" customFormat="false" ht="12.8" hidden="false" customHeight="false" outlineLevel="0" collapsed="false">
      <c r="A30" s="1" t="s">
        <v>134</v>
      </c>
      <c r="B30" s="10" t="s">
        <v>16</v>
      </c>
      <c r="C30" s="3" t="s">
        <v>135</v>
      </c>
      <c r="D30" s="2" t="s">
        <v>136</v>
      </c>
      <c r="E30" s="2" t="s">
        <v>19</v>
      </c>
      <c r="F30" s="2" t="n">
        <v>1</v>
      </c>
      <c r="G30" s="2" t="s">
        <v>20</v>
      </c>
      <c r="H30" s="2" t="s">
        <v>21</v>
      </c>
      <c r="I30" s="2" t="s">
        <v>22</v>
      </c>
      <c r="J30" s="2" t="s">
        <v>137</v>
      </c>
      <c r="K30" s="4" t="str">
        <f aca="false">HYPERLINK("components-cad/" &amp; J30)</f>
        <v>components-cad/ISO4762_M5x30.FCStd</v>
      </c>
      <c r="L30" s="10" t="s">
        <v>24</v>
      </c>
      <c r="M30" s="1" t="str">
        <f aca="false">IFERROR(VLOOKUP(L30, suppliers!$A$1:$Z$1000, 2, 0), "Enter a valid uuid in the supplier_uuid column")</f>
        <v>Adolf Würth GmbH &amp; Co. KG</v>
      </c>
      <c r="N30" s="5" t="n">
        <v>0.1</v>
      </c>
      <c r="O30" s="2" t="s">
        <v>25</v>
      </c>
    </row>
    <row r="31" customFormat="false" ht="12.8" hidden="false" customHeight="false" outlineLevel="0" collapsed="false">
      <c r="A31" s="1" t="s">
        <v>138</v>
      </c>
      <c r="B31" s="10" t="s">
        <v>16</v>
      </c>
      <c r="C31" s="3" t="s">
        <v>139</v>
      </c>
      <c r="D31" s="2" t="s">
        <v>140</v>
      </c>
      <c r="E31" s="2" t="s">
        <v>19</v>
      </c>
      <c r="F31" s="2" t="n">
        <v>1</v>
      </c>
      <c r="G31" s="2" t="s">
        <v>20</v>
      </c>
      <c r="H31" s="2" t="s">
        <v>21</v>
      </c>
      <c r="I31" s="2" t="s">
        <v>22</v>
      </c>
      <c r="J31" s="2" t="s">
        <v>141</v>
      </c>
      <c r="K31" s="4" t="str">
        <f aca="false">HYPERLINK("components-cad/" &amp; J31)</f>
        <v>components-cad/ISO4762_M5x35.FCStd</v>
      </c>
      <c r="L31" s="10" t="s">
        <v>24</v>
      </c>
      <c r="M31" s="1" t="str">
        <f aca="false">IFERROR(VLOOKUP(L31, suppliers!$A$1:$Z$1000, 2, 0), "Enter a valid uuid in the supplier_uuid column")</f>
        <v>Adolf Würth GmbH &amp; Co. KG</v>
      </c>
      <c r="N31" s="5" t="n">
        <v>0.1</v>
      </c>
      <c r="O31" s="2" t="s">
        <v>25</v>
      </c>
    </row>
    <row r="32" customFormat="false" ht="12.8" hidden="false" customHeight="false" outlineLevel="0" collapsed="false">
      <c r="A32" s="1" t="s">
        <v>142</v>
      </c>
      <c r="B32" s="10" t="s">
        <v>16</v>
      </c>
      <c r="C32" s="3" t="s">
        <v>143</v>
      </c>
      <c r="D32" s="2" t="s">
        <v>144</v>
      </c>
      <c r="E32" s="2" t="s">
        <v>19</v>
      </c>
      <c r="F32" s="2" t="n">
        <v>1</v>
      </c>
      <c r="G32" s="2" t="s">
        <v>20</v>
      </c>
      <c r="H32" s="2" t="s">
        <v>21</v>
      </c>
      <c r="I32" s="2" t="s">
        <v>22</v>
      </c>
      <c r="J32" s="2" t="s">
        <v>145</v>
      </c>
      <c r="K32" s="4" t="str">
        <f aca="false">HYPERLINK("components-cad/" &amp; J32)</f>
        <v>components-cad/ISO4762_M5x40.FCStd</v>
      </c>
      <c r="L32" s="10" t="s">
        <v>24</v>
      </c>
      <c r="M32" s="1" t="str">
        <f aca="false">IFERROR(VLOOKUP(L32, suppliers!$A$1:$Z$1000, 2, 0), "Enter a valid uuid in the supplier_uuid column")</f>
        <v>Adolf Würth GmbH &amp; Co. KG</v>
      </c>
      <c r="N32" s="5" t="n">
        <v>0.1</v>
      </c>
      <c r="O32" s="2" t="s">
        <v>25</v>
      </c>
    </row>
    <row r="33" customFormat="false" ht="12.8" hidden="false" customHeight="false" outlineLevel="0" collapsed="false">
      <c r="A33" s="1" t="s">
        <v>146</v>
      </c>
      <c r="B33" s="10" t="s">
        <v>16</v>
      </c>
      <c r="C33" s="3" t="s">
        <v>147</v>
      </c>
      <c r="D33" s="2" t="s">
        <v>148</v>
      </c>
      <c r="E33" s="2" t="s">
        <v>19</v>
      </c>
      <c r="F33" s="2" t="n">
        <v>1</v>
      </c>
      <c r="G33" s="2" t="s">
        <v>20</v>
      </c>
      <c r="H33" s="2" t="s">
        <v>21</v>
      </c>
      <c r="I33" s="2" t="s">
        <v>22</v>
      </c>
      <c r="J33" s="2" t="s">
        <v>149</v>
      </c>
      <c r="K33" s="4" t="str">
        <f aca="false">HYPERLINK("components-cad/" &amp; J33)</f>
        <v>components-cad/ISO4762_M5x45.FCStd</v>
      </c>
      <c r="L33" s="10" t="s">
        <v>24</v>
      </c>
      <c r="M33" s="1" t="str">
        <f aca="false">IFERROR(VLOOKUP(L33, suppliers!$A$1:$Z$1000, 2, 0), "Enter a valid uuid in the supplier_uuid column")</f>
        <v>Adolf Würth GmbH &amp; Co. KG</v>
      </c>
      <c r="N33" s="5" t="n">
        <v>0.1</v>
      </c>
      <c r="O33" s="2" t="s">
        <v>25</v>
      </c>
    </row>
    <row r="34" customFormat="false" ht="12.8" hidden="false" customHeight="false" outlineLevel="0" collapsed="false">
      <c r="A34" s="1" t="s">
        <v>150</v>
      </c>
      <c r="B34" s="10" t="s">
        <v>16</v>
      </c>
      <c r="C34" s="3" t="s">
        <v>151</v>
      </c>
      <c r="D34" s="2" t="s">
        <v>152</v>
      </c>
      <c r="E34" s="2" t="s">
        <v>19</v>
      </c>
      <c r="F34" s="2" t="n">
        <v>1</v>
      </c>
      <c r="G34" s="2" t="s">
        <v>20</v>
      </c>
      <c r="H34" s="2" t="s">
        <v>21</v>
      </c>
      <c r="I34" s="2" t="s">
        <v>22</v>
      </c>
      <c r="J34" s="2" t="s">
        <v>153</v>
      </c>
      <c r="K34" s="4" t="str">
        <f aca="false">HYPERLINK("components-cad/" &amp; J34)</f>
        <v>components-cad/ISO4762_M5x50.FCStd</v>
      </c>
      <c r="L34" s="10" t="s">
        <v>24</v>
      </c>
      <c r="M34" s="1" t="str">
        <f aca="false">IFERROR(VLOOKUP(L34, suppliers!$A$1:$Z$1000, 2, 0), "Enter a valid uuid in the supplier_uuid column")</f>
        <v>Adolf Würth GmbH &amp; Co. KG</v>
      </c>
      <c r="N34" s="5" t="n">
        <v>0.1</v>
      </c>
      <c r="O34" s="2" t="s">
        <v>25</v>
      </c>
    </row>
    <row r="35" customFormat="false" ht="12.8" hidden="false" customHeight="false" outlineLevel="0" collapsed="false">
      <c r="A35" s="1" t="s">
        <v>154</v>
      </c>
      <c r="B35" s="10" t="s">
        <v>16</v>
      </c>
      <c r="C35" s="3" t="s">
        <v>155</v>
      </c>
      <c r="D35" s="2" t="s">
        <v>156</v>
      </c>
      <c r="E35" s="2" t="s">
        <v>19</v>
      </c>
      <c r="F35" s="2" t="n">
        <v>1</v>
      </c>
      <c r="G35" s="2" t="s">
        <v>20</v>
      </c>
      <c r="H35" s="2" t="s">
        <v>21</v>
      </c>
      <c r="I35" s="2" t="s">
        <v>22</v>
      </c>
      <c r="J35" s="2" t="s">
        <v>157</v>
      </c>
      <c r="K35" s="4" t="str">
        <f aca="false">HYPERLINK("components-cad/" &amp; J35)</f>
        <v>components-cad/ISO4762_M6x8.FCStd</v>
      </c>
      <c r="L35" s="10" t="s">
        <v>24</v>
      </c>
      <c r="M35" s="1" t="str">
        <f aca="false">IFERROR(VLOOKUP(L35, suppliers!$A$1:$Z$1000, 2, 0), "Enter a valid uuid in the supplier_uuid column")</f>
        <v>Adolf Würth GmbH &amp; Co. KG</v>
      </c>
      <c r="N35" s="5" t="n">
        <v>0.1</v>
      </c>
      <c r="O35" s="2" t="s">
        <v>25</v>
      </c>
    </row>
    <row r="36" customFormat="false" ht="12.8" hidden="false" customHeight="false" outlineLevel="0" collapsed="false">
      <c r="A36" s="1" t="s">
        <v>158</v>
      </c>
      <c r="B36" s="10" t="s">
        <v>16</v>
      </c>
      <c r="C36" s="3" t="s">
        <v>159</v>
      </c>
      <c r="D36" s="2" t="s">
        <v>160</v>
      </c>
      <c r="E36" s="2" t="s">
        <v>19</v>
      </c>
      <c r="F36" s="2" t="n">
        <v>1</v>
      </c>
      <c r="G36" s="2" t="s">
        <v>20</v>
      </c>
      <c r="H36" s="2" t="s">
        <v>21</v>
      </c>
      <c r="I36" s="2" t="s">
        <v>22</v>
      </c>
      <c r="J36" s="2" t="s">
        <v>161</v>
      </c>
      <c r="K36" s="4" t="str">
        <f aca="false">HYPERLINK("components-cad/" &amp; J36)</f>
        <v>components-cad/ISO4762_M6x10.FCStd</v>
      </c>
      <c r="L36" s="10" t="s">
        <v>24</v>
      </c>
      <c r="M36" s="1" t="str">
        <f aca="false">IFERROR(VLOOKUP(L36, suppliers!$A$1:$Z$1000, 2, 0), "Enter a valid uuid in the supplier_uuid column")</f>
        <v>Adolf Würth GmbH &amp; Co. KG</v>
      </c>
      <c r="N36" s="5" t="n">
        <v>0.1</v>
      </c>
      <c r="O36" s="2" t="s">
        <v>25</v>
      </c>
    </row>
    <row r="37" customFormat="false" ht="12.8" hidden="false" customHeight="false" outlineLevel="0" collapsed="false">
      <c r="A37" s="1" t="s">
        <v>162</v>
      </c>
      <c r="B37" s="10" t="s">
        <v>16</v>
      </c>
      <c r="C37" s="3" t="s">
        <v>163</v>
      </c>
      <c r="D37" s="2" t="s">
        <v>164</v>
      </c>
      <c r="E37" s="2" t="s">
        <v>19</v>
      </c>
      <c r="F37" s="2" t="n">
        <v>1</v>
      </c>
      <c r="G37" s="2" t="s">
        <v>20</v>
      </c>
      <c r="H37" s="2" t="s">
        <v>21</v>
      </c>
      <c r="I37" s="2" t="s">
        <v>22</v>
      </c>
      <c r="J37" s="2" t="s">
        <v>165</v>
      </c>
      <c r="K37" s="4" t="str">
        <f aca="false">HYPERLINK("components-cad/" &amp; J37)</f>
        <v>components-cad/ISO4762_M6x12.FCStd</v>
      </c>
      <c r="L37" s="10" t="s">
        <v>24</v>
      </c>
      <c r="M37" s="1" t="str">
        <f aca="false">IFERROR(VLOOKUP(L37, suppliers!$A$1:$Z$1000, 2, 0), "Enter a valid uuid in the supplier_uuid column")</f>
        <v>Adolf Würth GmbH &amp; Co. KG</v>
      </c>
      <c r="N37" s="5" t="n">
        <v>0.1</v>
      </c>
      <c r="O37" s="2" t="s">
        <v>25</v>
      </c>
    </row>
    <row r="38" customFormat="false" ht="12.8" hidden="false" customHeight="false" outlineLevel="0" collapsed="false">
      <c r="A38" s="1" t="s">
        <v>166</v>
      </c>
      <c r="B38" s="10" t="s">
        <v>16</v>
      </c>
      <c r="C38" s="3" t="s">
        <v>167</v>
      </c>
      <c r="D38" s="2" t="s">
        <v>168</v>
      </c>
      <c r="E38" s="2" t="s">
        <v>19</v>
      </c>
      <c r="F38" s="2" t="n">
        <v>1</v>
      </c>
      <c r="G38" s="2" t="s">
        <v>20</v>
      </c>
      <c r="H38" s="2" t="s">
        <v>21</v>
      </c>
      <c r="I38" s="2" t="s">
        <v>22</v>
      </c>
      <c r="J38" s="2" t="s">
        <v>169</v>
      </c>
      <c r="K38" s="4" t="str">
        <f aca="false">HYPERLINK("components-cad/" &amp; J38)</f>
        <v>components-cad/ISO4762_M6x14.FCStd</v>
      </c>
      <c r="L38" s="10" t="s">
        <v>24</v>
      </c>
      <c r="M38" s="1" t="str">
        <f aca="false">IFERROR(VLOOKUP(L38, suppliers!$A$1:$Z$1000, 2, 0), "Enter a valid uuid in the supplier_uuid column")</f>
        <v>Adolf Würth GmbH &amp; Co. KG</v>
      </c>
      <c r="N38" s="5" t="n">
        <v>0.1</v>
      </c>
      <c r="O38" s="2" t="s">
        <v>25</v>
      </c>
    </row>
    <row r="39" customFormat="false" ht="12.8" hidden="false" customHeight="false" outlineLevel="0" collapsed="false">
      <c r="A39" s="1" t="s">
        <v>170</v>
      </c>
      <c r="B39" s="10" t="s">
        <v>16</v>
      </c>
      <c r="C39" s="3" t="s">
        <v>171</v>
      </c>
      <c r="D39" s="2" t="s">
        <v>172</v>
      </c>
      <c r="E39" s="2" t="s">
        <v>19</v>
      </c>
      <c r="F39" s="2" t="n">
        <v>1</v>
      </c>
      <c r="G39" s="2" t="s">
        <v>20</v>
      </c>
      <c r="H39" s="2" t="s">
        <v>21</v>
      </c>
      <c r="I39" s="2" t="s">
        <v>22</v>
      </c>
      <c r="J39" s="2" t="s">
        <v>173</v>
      </c>
      <c r="K39" s="4" t="str">
        <f aca="false">HYPERLINK("components-cad/" &amp; J39)</f>
        <v>components-cad/ISO4762_M6x16.FCStd</v>
      </c>
      <c r="L39" s="10" t="s">
        <v>24</v>
      </c>
      <c r="M39" s="1" t="str">
        <f aca="false">IFERROR(VLOOKUP(L39, suppliers!$A$1:$Z$1000, 2, 0), "Enter a valid uuid in the supplier_uuid column")</f>
        <v>Adolf Würth GmbH &amp; Co. KG</v>
      </c>
      <c r="N39" s="5" t="n">
        <v>0.1</v>
      </c>
      <c r="O39" s="2" t="s">
        <v>25</v>
      </c>
    </row>
    <row r="40" customFormat="false" ht="12.8" hidden="false" customHeight="false" outlineLevel="0" collapsed="false">
      <c r="A40" s="1" t="s">
        <v>174</v>
      </c>
      <c r="B40" s="10" t="s">
        <v>16</v>
      </c>
      <c r="C40" s="3" t="s">
        <v>175</v>
      </c>
      <c r="D40" s="2" t="s">
        <v>176</v>
      </c>
      <c r="E40" s="2" t="s">
        <v>19</v>
      </c>
      <c r="F40" s="2" t="n">
        <v>1</v>
      </c>
      <c r="G40" s="2" t="s">
        <v>20</v>
      </c>
      <c r="H40" s="2" t="s">
        <v>21</v>
      </c>
      <c r="I40" s="2" t="s">
        <v>22</v>
      </c>
      <c r="J40" s="2" t="s">
        <v>177</v>
      </c>
      <c r="K40" s="4" t="str">
        <f aca="false">HYPERLINK("components-cad/" &amp; J40)</f>
        <v>components-cad/ISO4762_M6x20.FCStd</v>
      </c>
      <c r="L40" s="10" t="s">
        <v>24</v>
      </c>
      <c r="M40" s="1" t="str">
        <f aca="false">IFERROR(VLOOKUP(L40, suppliers!$A$1:$Z$1000, 2, 0), "Enter a valid uuid in the supplier_uuid column")</f>
        <v>Adolf Würth GmbH &amp; Co. KG</v>
      </c>
      <c r="N40" s="5" t="n">
        <v>0.1</v>
      </c>
      <c r="O40" s="2" t="s">
        <v>25</v>
      </c>
    </row>
    <row r="41" customFormat="false" ht="12.8" hidden="false" customHeight="false" outlineLevel="0" collapsed="false">
      <c r="A41" s="1" t="s">
        <v>178</v>
      </c>
      <c r="B41" s="10" t="s">
        <v>16</v>
      </c>
      <c r="C41" s="3" t="s">
        <v>179</v>
      </c>
      <c r="D41" s="2" t="s">
        <v>180</v>
      </c>
      <c r="E41" s="2" t="s">
        <v>19</v>
      </c>
      <c r="F41" s="2" t="n">
        <v>1</v>
      </c>
      <c r="G41" s="2" t="s">
        <v>20</v>
      </c>
      <c r="H41" s="2" t="s">
        <v>21</v>
      </c>
      <c r="I41" s="2" t="s">
        <v>22</v>
      </c>
      <c r="J41" s="2" t="s">
        <v>181</v>
      </c>
      <c r="K41" s="4" t="str">
        <f aca="false">HYPERLINK("components-cad/" &amp; J41)</f>
        <v>components-cad/ISO4762_M6x25.FCStd</v>
      </c>
      <c r="L41" s="10" t="s">
        <v>24</v>
      </c>
      <c r="M41" s="1" t="str">
        <f aca="false">IFERROR(VLOOKUP(L41, suppliers!$A$1:$Z$1000, 2, 0), "Enter a valid uuid in the supplier_uuid column")</f>
        <v>Adolf Würth GmbH &amp; Co. KG</v>
      </c>
      <c r="N41" s="5" t="n">
        <v>0.1</v>
      </c>
      <c r="O41" s="2" t="s">
        <v>25</v>
      </c>
    </row>
    <row r="42" customFormat="false" ht="12.8" hidden="false" customHeight="false" outlineLevel="0" collapsed="false">
      <c r="A42" s="1" t="s">
        <v>182</v>
      </c>
      <c r="B42" s="10" t="s">
        <v>16</v>
      </c>
      <c r="C42" s="3" t="s">
        <v>183</v>
      </c>
      <c r="D42" s="2" t="s">
        <v>184</v>
      </c>
      <c r="E42" s="2" t="s">
        <v>19</v>
      </c>
      <c r="F42" s="2" t="n">
        <v>1</v>
      </c>
      <c r="G42" s="2" t="s">
        <v>20</v>
      </c>
      <c r="H42" s="2" t="s">
        <v>21</v>
      </c>
      <c r="I42" s="2" t="s">
        <v>22</v>
      </c>
      <c r="J42" s="2" t="s">
        <v>185</v>
      </c>
      <c r="K42" s="4" t="str">
        <f aca="false">HYPERLINK("components-cad/" &amp; J42)</f>
        <v>components-cad/ISO4762_M6x30.FCStd</v>
      </c>
      <c r="L42" s="10" t="s">
        <v>24</v>
      </c>
      <c r="M42" s="1" t="str">
        <f aca="false">IFERROR(VLOOKUP(L42, suppliers!$A$1:$Z$1000, 2, 0), "Enter a valid uuid in the supplier_uuid column")</f>
        <v>Adolf Würth GmbH &amp; Co. KG</v>
      </c>
      <c r="N42" s="5" t="n">
        <v>0.1</v>
      </c>
      <c r="O42" s="2" t="s">
        <v>25</v>
      </c>
    </row>
    <row r="43" customFormat="false" ht="12.8" hidden="false" customHeight="false" outlineLevel="0" collapsed="false">
      <c r="A43" s="1" t="s">
        <v>186</v>
      </c>
      <c r="B43" s="10" t="s">
        <v>16</v>
      </c>
      <c r="C43" s="3" t="s">
        <v>187</v>
      </c>
      <c r="D43" s="2" t="s">
        <v>188</v>
      </c>
      <c r="E43" s="2" t="s">
        <v>19</v>
      </c>
      <c r="F43" s="2" t="n">
        <v>1</v>
      </c>
      <c r="G43" s="2" t="s">
        <v>20</v>
      </c>
      <c r="H43" s="2" t="s">
        <v>21</v>
      </c>
      <c r="I43" s="2" t="s">
        <v>22</v>
      </c>
      <c r="J43" s="2" t="s">
        <v>189</v>
      </c>
      <c r="K43" s="4" t="str">
        <f aca="false">HYPERLINK("components-cad/" &amp; J43)</f>
        <v>components-cad/ISO4762_M6x35.FCStd</v>
      </c>
      <c r="L43" s="10" t="s">
        <v>24</v>
      </c>
      <c r="M43" s="1" t="str">
        <f aca="false">IFERROR(VLOOKUP(L43, suppliers!$A$1:$Z$1000, 2, 0), "Enter a valid uuid in the supplier_uuid column")</f>
        <v>Adolf Würth GmbH &amp; Co. KG</v>
      </c>
      <c r="N43" s="5" t="n">
        <v>0.1</v>
      </c>
      <c r="O43" s="2" t="s">
        <v>25</v>
      </c>
    </row>
    <row r="44" customFormat="false" ht="12.8" hidden="false" customHeight="false" outlineLevel="0" collapsed="false">
      <c r="A44" s="1" t="s">
        <v>190</v>
      </c>
      <c r="B44" s="10" t="s">
        <v>16</v>
      </c>
      <c r="C44" s="3" t="s">
        <v>191</v>
      </c>
      <c r="D44" s="2" t="s">
        <v>192</v>
      </c>
      <c r="E44" s="2" t="s">
        <v>19</v>
      </c>
      <c r="F44" s="2" t="n">
        <v>1</v>
      </c>
      <c r="G44" s="2" t="s">
        <v>20</v>
      </c>
      <c r="H44" s="2" t="s">
        <v>21</v>
      </c>
      <c r="I44" s="2" t="s">
        <v>22</v>
      </c>
      <c r="J44" s="2" t="s">
        <v>193</v>
      </c>
      <c r="K44" s="4" t="str">
        <f aca="false">HYPERLINK("components-cad/" &amp; J44)</f>
        <v>components-cad/ISO4762_M6x40.FCStd</v>
      </c>
      <c r="L44" s="10" t="s">
        <v>24</v>
      </c>
      <c r="M44" s="1" t="str">
        <f aca="false">IFERROR(VLOOKUP(L44, suppliers!$A$1:$Z$1000, 2, 0), "Enter a valid uuid in the supplier_uuid column")</f>
        <v>Adolf Würth GmbH &amp; Co. KG</v>
      </c>
      <c r="N44" s="5" t="n">
        <v>0.1</v>
      </c>
      <c r="O44" s="2" t="s">
        <v>25</v>
      </c>
    </row>
    <row r="45" customFormat="false" ht="12.8" hidden="false" customHeight="false" outlineLevel="0" collapsed="false">
      <c r="A45" s="1" t="s">
        <v>194</v>
      </c>
      <c r="B45" s="10" t="s">
        <v>16</v>
      </c>
      <c r="C45" s="3" t="s">
        <v>195</v>
      </c>
      <c r="D45" s="2" t="s">
        <v>196</v>
      </c>
      <c r="E45" s="2" t="s">
        <v>19</v>
      </c>
      <c r="F45" s="2" t="n">
        <v>1</v>
      </c>
      <c r="G45" s="2" t="s">
        <v>20</v>
      </c>
      <c r="H45" s="2" t="s">
        <v>21</v>
      </c>
      <c r="I45" s="2" t="s">
        <v>22</v>
      </c>
      <c r="J45" s="2" t="s">
        <v>197</v>
      </c>
      <c r="K45" s="4" t="str">
        <f aca="false">HYPERLINK("components-cad/" &amp; J45)</f>
        <v>components-cad/ISO4762_M6x45.FCStd</v>
      </c>
      <c r="L45" s="10" t="s">
        <v>24</v>
      </c>
      <c r="M45" s="1" t="str">
        <f aca="false">IFERROR(VLOOKUP(L45, suppliers!$A$1:$Z$1000, 2, 0), "Enter a valid uuid in the supplier_uuid column")</f>
        <v>Adolf Würth GmbH &amp; Co. KG</v>
      </c>
      <c r="N45" s="5" t="n">
        <v>0.1</v>
      </c>
      <c r="O45" s="2" t="s">
        <v>25</v>
      </c>
    </row>
    <row r="46" customFormat="false" ht="12.8" hidden="false" customHeight="false" outlineLevel="0" collapsed="false">
      <c r="A46" s="1" t="s">
        <v>198</v>
      </c>
      <c r="B46" s="10" t="s">
        <v>16</v>
      </c>
      <c r="C46" s="3" t="s">
        <v>199</v>
      </c>
      <c r="D46" s="2" t="s">
        <v>200</v>
      </c>
      <c r="E46" s="2" t="s">
        <v>19</v>
      </c>
      <c r="F46" s="2" t="n">
        <v>1</v>
      </c>
      <c r="G46" s="2" t="s">
        <v>20</v>
      </c>
      <c r="H46" s="2" t="s">
        <v>21</v>
      </c>
      <c r="I46" s="2" t="s">
        <v>22</v>
      </c>
      <c r="J46" s="2" t="s">
        <v>201</v>
      </c>
      <c r="K46" s="4" t="str">
        <f aca="false">HYPERLINK("components-cad/" &amp; J46)</f>
        <v>components-cad/ISO4762_M6x50.FCStd</v>
      </c>
      <c r="L46" s="10" t="s">
        <v>24</v>
      </c>
      <c r="M46" s="1" t="str">
        <f aca="false">IFERROR(VLOOKUP(L46, suppliers!$A$1:$Z$1000, 2, 0), "Enter a valid uuid in the supplier_uuid column")</f>
        <v>Adolf Würth GmbH &amp; Co. KG</v>
      </c>
      <c r="N46" s="5" t="n">
        <v>0.1</v>
      </c>
      <c r="O46" s="2" t="s">
        <v>25</v>
      </c>
    </row>
    <row r="47" customFormat="false" ht="12.8" hidden="false" customHeight="false" outlineLevel="0" collapsed="false">
      <c r="A47" s="1" t="s">
        <v>202</v>
      </c>
      <c r="B47" s="10" t="s">
        <v>16</v>
      </c>
      <c r="C47" s="3" t="s">
        <v>203</v>
      </c>
      <c r="D47" s="2" t="s">
        <v>204</v>
      </c>
      <c r="E47" s="2" t="s">
        <v>19</v>
      </c>
      <c r="F47" s="2" t="n">
        <v>1</v>
      </c>
      <c r="G47" s="2" t="s">
        <v>20</v>
      </c>
      <c r="H47" s="2" t="s">
        <v>21</v>
      </c>
      <c r="I47" s="2" t="s">
        <v>22</v>
      </c>
      <c r="J47" s="2" t="s">
        <v>205</v>
      </c>
      <c r="K47" s="4" t="str">
        <f aca="false">HYPERLINK("components-cad/" &amp; J47)</f>
        <v>components-cad/ISO4762_M6x55.FCStd</v>
      </c>
      <c r="L47" s="10" t="s">
        <v>24</v>
      </c>
      <c r="M47" s="1" t="str">
        <f aca="false">IFERROR(VLOOKUP(L47, suppliers!$A$1:$Z$1000, 2, 0), "Enter a valid uuid in the supplier_uuid column")</f>
        <v>Adolf Würth GmbH &amp; Co. KG</v>
      </c>
      <c r="N47" s="5" t="n">
        <v>0.1</v>
      </c>
      <c r="O47" s="2" t="s">
        <v>25</v>
      </c>
    </row>
    <row r="48" customFormat="false" ht="12.8" hidden="false" customHeight="false" outlineLevel="0" collapsed="false">
      <c r="A48" s="1" t="s">
        <v>206</v>
      </c>
      <c r="B48" s="10" t="s">
        <v>16</v>
      </c>
      <c r="C48" s="3" t="s">
        <v>207</v>
      </c>
      <c r="D48" s="2" t="s">
        <v>208</v>
      </c>
      <c r="E48" s="2" t="s">
        <v>19</v>
      </c>
      <c r="F48" s="2" t="n">
        <v>1</v>
      </c>
      <c r="G48" s="2" t="s">
        <v>20</v>
      </c>
      <c r="H48" s="2" t="s">
        <v>21</v>
      </c>
      <c r="I48" s="2" t="s">
        <v>22</v>
      </c>
      <c r="J48" s="2" t="s">
        <v>209</v>
      </c>
      <c r="K48" s="4" t="str">
        <f aca="false">HYPERLINK("components-cad/" &amp; J48)</f>
        <v>components-cad/ISO4762_M6x60.FCStd</v>
      </c>
      <c r="L48" s="10" t="s">
        <v>24</v>
      </c>
      <c r="M48" s="1" t="str">
        <f aca="false">IFERROR(VLOOKUP(L48, suppliers!$A$1:$Z$1000, 2, 0), "Enter a valid uuid in the supplier_uuid column")</f>
        <v>Adolf Würth GmbH &amp; Co. KG</v>
      </c>
      <c r="N48" s="5" t="n">
        <v>0.1</v>
      </c>
      <c r="O48" s="2" t="s">
        <v>25</v>
      </c>
    </row>
    <row r="49" customFormat="false" ht="12.8" hidden="false" customHeight="false" outlineLevel="0" collapsed="false">
      <c r="A49" s="1" t="s">
        <v>210</v>
      </c>
      <c r="B49" s="10" t="s">
        <v>16</v>
      </c>
      <c r="C49" s="3" t="s">
        <v>211</v>
      </c>
      <c r="D49" s="2" t="s">
        <v>212</v>
      </c>
      <c r="E49" s="2" t="s">
        <v>19</v>
      </c>
      <c r="F49" s="2" t="n">
        <v>1</v>
      </c>
      <c r="G49" s="2" t="s">
        <v>20</v>
      </c>
      <c r="H49" s="2" t="s">
        <v>21</v>
      </c>
      <c r="I49" s="2" t="s">
        <v>22</v>
      </c>
      <c r="J49" s="2" t="s">
        <v>213</v>
      </c>
      <c r="K49" s="4" t="str">
        <f aca="false">HYPERLINK("components-cad/" &amp; J49)</f>
        <v>components-cad/ISO4762_M6x65.FCStd</v>
      </c>
      <c r="L49" s="10" t="s">
        <v>24</v>
      </c>
      <c r="M49" s="1" t="str">
        <f aca="false">IFERROR(VLOOKUP(L49, suppliers!$A$1:$Z$1000, 2, 0), "Enter a valid uuid in the supplier_uuid column")</f>
        <v>Adolf Würth GmbH &amp; Co. KG</v>
      </c>
      <c r="N49" s="5" t="n">
        <v>0.1</v>
      </c>
      <c r="O49" s="2" t="s">
        <v>25</v>
      </c>
    </row>
    <row r="50" customFormat="false" ht="12.8" hidden="false" customHeight="false" outlineLevel="0" collapsed="false">
      <c r="A50" s="1" t="s">
        <v>214</v>
      </c>
      <c r="B50" s="10" t="s">
        <v>16</v>
      </c>
      <c r="C50" s="3" t="s">
        <v>215</v>
      </c>
      <c r="D50" s="2" t="s">
        <v>216</v>
      </c>
      <c r="E50" s="2" t="s">
        <v>19</v>
      </c>
      <c r="F50" s="2" t="n">
        <v>1</v>
      </c>
      <c r="G50" s="2" t="s">
        <v>20</v>
      </c>
      <c r="H50" s="2" t="s">
        <v>21</v>
      </c>
      <c r="I50" s="2" t="s">
        <v>22</v>
      </c>
      <c r="J50" s="2" t="s">
        <v>217</v>
      </c>
      <c r="K50" s="4" t="str">
        <f aca="false">HYPERLINK("components-cad/" &amp; J50)</f>
        <v>components-cad/ISO4762_M6x70.FCStd</v>
      </c>
      <c r="L50" s="10" t="s">
        <v>24</v>
      </c>
      <c r="M50" s="1" t="str">
        <f aca="false">IFERROR(VLOOKUP(L50, suppliers!$A$1:$Z$1000, 2, 0), "Enter a valid uuid in the supplier_uuid column")</f>
        <v>Adolf Würth GmbH &amp; Co. KG</v>
      </c>
      <c r="N50" s="5" t="n">
        <v>0.1</v>
      </c>
      <c r="O50" s="2" t="s">
        <v>25</v>
      </c>
    </row>
    <row r="51" customFormat="false" ht="12.8" hidden="false" customHeight="false" outlineLevel="0" collapsed="false">
      <c r="A51" s="1" t="s">
        <v>218</v>
      </c>
      <c r="B51" s="10" t="s">
        <v>16</v>
      </c>
      <c r="C51" s="3" t="s">
        <v>219</v>
      </c>
      <c r="D51" s="2" t="s">
        <v>220</v>
      </c>
      <c r="E51" s="2" t="s">
        <v>19</v>
      </c>
      <c r="F51" s="2" t="n">
        <v>1</v>
      </c>
      <c r="G51" s="2" t="s">
        <v>20</v>
      </c>
      <c r="H51" s="2" t="s">
        <v>21</v>
      </c>
      <c r="I51" s="2" t="s">
        <v>22</v>
      </c>
      <c r="J51" s="2" t="s">
        <v>221</v>
      </c>
      <c r="K51" s="4" t="str">
        <f aca="false">HYPERLINK("components-cad/" &amp; J51)</f>
        <v>components-cad/ISO4762_M6x75.FCStd</v>
      </c>
      <c r="L51" s="10" t="s">
        <v>24</v>
      </c>
      <c r="M51" s="1" t="str">
        <f aca="false">IFERROR(VLOOKUP(L51, suppliers!$A$1:$Z$1000, 2, 0), "Enter a valid uuid in the supplier_uuid column")</f>
        <v>Adolf Würth GmbH &amp; Co. KG</v>
      </c>
      <c r="N51" s="5" t="n">
        <v>0.1</v>
      </c>
      <c r="O51" s="2" t="s">
        <v>25</v>
      </c>
    </row>
    <row r="52" customFormat="false" ht="12.8" hidden="false" customHeight="false" outlineLevel="0" collapsed="false">
      <c r="A52" s="1" t="s">
        <v>222</v>
      </c>
      <c r="B52" s="10" t="s">
        <v>16</v>
      </c>
      <c r="C52" s="3" t="s">
        <v>223</v>
      </c>
      <c r="D52" s="2" t="s">
        <v>224</v>
      </c>
      <c r="E52" s="2" t="s">
        <v>19</v>
      </c>
      <c r="F52" s="2" t="n">
        <v>1</v>
      </c>
      <c r="G52" s="2" t="s">
        <v>20</v>
      </c>
      <c r="H52" s="2" t="s">
        <v>21</v>
      </c>
      <c r="I52" s="2" t="s">
        <v>22</v>
      </c>
      <c r="J52" s="2" t="s">
        <v>225</v>
      </c>
      <c r="K52" s="4" t="str">
        <f aca="false">HYPERLINK("components-cad/" &amp; J52)</f>
        <v>components-cad/ISO4762_M6x80.FCStd</v>
      </c>
      <c r="L52" s="10" t="s">
        <v>24</v>
      </c>
      <c r="M52" s="1" t="str">
        <f aca="false">IFERROR(VLOOKUP(L52, suppliers!$A$1:$Z$1000, 2, 0), "Enter a valid uuid in the supplier_uuid column")</f>
        <v>Adolf Würth GmbH &amp; Co. KG</v>
      </c>
      <c r="N52" s="5" t="n">
        <v>0.1</v>
      </c>
      <c r="O52" s="2" t="s">
        <v>25</v>
      </c>
    </row>
    <row r="53" customFormat="false" ht="12.8" hidden="false" customHeight="false" outlineLevel="0" collapsed="false">
      <c r="A53" s="1" t="s">
        <v>226</v>
      </c>
      <c r="B53" s="10" t="s">
        <v>16</v>
      </c>
      <c r="C53" s="3" t="s">
        <v>227</v>
      </c>
      <c r="D53" s="2" t="s">
        <v>228</v>
      </c>
      <c r="E53" s="2" t="s">
        <v>19</v>
      </c>
      <c r="F53" s="2" t="n">
        <v>1</v>
      </c>
      <c r="G53" s="2" t="s">
        <v>20</v>
      </c>
      <c r="H53" s="2" t="s">
        <v>21</v>
      </c>
      <c r="I53" s="2" t="s">
        <v>22</v>
      </c>
      <c r="J53" s="2" t="s">
        <v>229</v>
      </c>
      <c r="K53" s="4" t="str">
        <f aca="false">HYPERLINK("components-cad/" &amp; J53)</f>
        <v>components-cad/ISO4762_M6x85.FCStd</v>
      </c>
      <c r="L53" s="10" t="s">
        <v>24</v>
      </c>
      <c r="M53" s="1" t="str">
        <f aca="false">IFERROR(VLOOKUP(L53, suppliers!$A$1:$Z$1000, 2, 0), "Enter a valid uuid in the supplier_uuid column")</f>
        <v>Adolf Würth GmbH &amp; Co. KG</v>
      </c>
      <c r="N53" s="5" t="n">
        <v>0.1</v>
      </c>
      <c r="O53" s="2" t="s">
        <v>25</v>
      </c>
    </row>
    <row r="54" customFormat="false" ht="12.8" hidden="false" customHeight="false" outlineLevel="0" collapsed="false">
      <c r="A54" s="1" t="s">
        <v>230</v>
      </c>
      <c r="B54" s="10" t="s">
        <v>16</v>
      </c>
      <c r="C54" s="3" t="s">
        <v>231</v>
      </c>
      <c r="D54" s="2" t="s">
        <v>232</v>
      </c>
      <c r="E54" s="2" t="s">
        <v>19</v>
      </c>
      <c r="F54" s="2" t="n">
        <v>1</v>
      </c>
      <c r="G54" s="2" t="s">
        <v>20</v>
      </c>
      <c r="H54" s="2" t="s">
        <v>21</v>
      </c>
      <c r="I54" s="2" t="s">
        <v>22</v>
      </c>
      <c r="J54" s="2" t="s">
        <v>233</v>
      </c>
      <c r="K54" s="4" t="str">
        <f aca="false">HYPERLINK("components-cad/" &amp; J54)</f>
        <v>components-cad/ISO4762_M6x90.FCStd</v>
      </c>
      <c r="L54" s="10" t="s">
        <v>24</v>
      </c>
      <c r="M54" s="1" t="str">
        <f aca="false">IFERROR(VLOOKUP(L54, suppliers!$A$1:$Z$1000, 2, 0), "Enter a valid uuid in the supplier_uuid column")</f>
        <v>Adolf Würth GmbH &amp; Co. KG</v>
      </c>
      <c r="N54" s="5" t="n">
        <v>0.1</v>
      </c>
      <c r="O54" s="2" t="s">
        <v>25</v>
      </c>
    </row>
    <row r="55" customFormat="false" ht="12.8" hidden="false" customHeight="false" outlineLevel="0" collapsed="false">
      <c r="A55" s="1" t="s">
        <v>234</v>
      </c>
      <c r="B55" s="10" t="s">
        <v>16</v>
      </c>
      <c r="C55" s="3" t="s">
        <v>235</v>
      </c>
      <c r="D55" s="2" t="s">
        <v>236</v>
      </c>
      <c r="E55" s="2" t="s">
        <v>19</v>
      </c>
      <c r="F55" s="2" t="n">
        <v>1</v>
      </c>
      <c r="G55" s="2" t="s">
        <v>20</v>
      </c>
      <c r="H55" s="2" t="s">
        <v>21</v>
      </c>
      <c r="I55" s="2" t="s">
        <v>22</v>
      </c>
      <c r="J55" s="2" t="s">
        <v>237</v>
      </c>
      <c r="K55" s="4" t="str">
        <f aca="false">HYPERLINK("components-cad/" &amp; J55)</f>
        <v>components-cad/ISO4762_M8x10.FCStd</v>
      </c>
      <c r="L55" s="10" t="s">
        <v>24</v>
      </c>
      <c r="M55" s="1" t="str">
        <f aca="false">IFERROR(VLOOKUP(L55, suppliers!$A$1:$Z$1000, 2, 0), "Enter a valid uuid in the supplier_uuid column")</f>
        <v>Adolf Würth GmbH &amp; Co. KG</v>
      </c>
      <c r="N55" s="5" t="n">
        <v>0.1</v>
      </c>
      <c r="O55" s="2" t="s">
        <v>25</v>
      </c>
    </row>
    <row r="56" customFormat="false" ht="12.8" hidden="false" customHeight="false" outlineLevel="0" collapsed="false">
      <c r="A56" s="1" t="s">
        <v>238</v>
      </c>
      <c r="B56" s="10" t="s">
        <v>16</v>
      </c>
      <c r="C56" s="3" t="s">
        <v>239</v>
      </c>
      <c r="D56" s="2" t="s">
        <v>240</v>
      </c>
      <c r="E56" s="2" t="s">
        <v>19</v>
      </c>
      <c r="F56" s="2" t="n">
        <v>1</v>
      </c>
      <c r="G56" s="2" t="s">
        <v>20</v>
      </c>
      <c r="H56" s="2" t="s">
        <v>21</v>
      </c>
      <c r="I56" s="2" t="s">
        <v>22</v>
      </c>
      <c r="J56" s="2" t="s">
        <v>241</v>
      </c>
      <c r="K56" s="4" t="str">
        <f aca="false">HYPERLINK("components-cad/" &amp; J56)</f>
        <v>components-cad/ISO4762_M8x12.FCStd</v>
      </c>
      <c r="L56" s="10" t="s">
        <v>24</v>
      </c>
      <c r="M56" s="1" t="str">
        <f aca="false">IFERROR(VLOOKUP(L56, suppliers!$A$1:$Z$1000, 2, 0), "Enter a valid uuid in the supplier_uuid column")</f>
        <v>Adolf Würth GmbH &amp; Co. KG</v>
      </c>
      <c r="N56" s="5" t="n">
        <v>0.1</v>
      </c>
      <c r="O56" s="2" t="s">
        <v>25</v>
      </c>
    </row>
    <row r="57" customFormat="false" ht="12.8" hidden="false" customHeight="false" outlineLevel="0" collapsed="false">
      <c r="A57" s="1" t="s">
        <v>242</v>
      </c>
      <c r="B57" s="10" t="s">
        <v>16</v>
      </c>
      <c r="C57" s="3" t="s">
        <v>243</v>
      </c>
      <c r="D57" s="2" t="s">
        <v>244</v>
      </c>
      <c r="E57" s="2" t="s">
        <v>19</v>
      </c>
      <c r="F57" s="2" t="n">
        <v>1</v>
      </c>
      <c r="G57" s="2" t="s">
        <v>20</v>
      </c>
      <c r="H57" s="2" t="s">
        <v>21</v>
      </c>
      <c r="I57" s="2" t="s">
        <v>22</v>
      </c>
      <c r="J57" s="2" t="s">
        <v>245</v>
      </c>
      <c r="K57" s="4" t="str">
        <f aca="false">HYPERLINK("components-cad/" &amp; J57)</f>
        <v>components-cad/ISO4762_M8x14.FCStd</v>
      </c>
      <c r="L57" s="10" t="s">
        <v>24</v>
      </c>
      <c r="M57" s="1" t="str">
        <f aca="false">IFERROR(VLOOKUP(L57, suppliers!$A$1:$Z$1000, 2, 0), "Enter a valid uuid in the supplier_uuid column")</f>
        <v>Adolf Würth GmbH &amp; Co. KG</v>
      </c>
      <c r="N57" s="5" t="n">
        <v>0.1</v>
      </c>
      <c r="O57" s="2" t="s">
        <v>25</v>
      </c>
    </row>
    <row r="58" customFormat="false" ht="12.8" hidden="false" customHeight="false" outlineLevel="0" collapsed="false">
      <c r="A58" s="1" t="s">
        <v>246</v>
      </c>
      <c r="B58" s="10" t="s">
        <v>16</v>
      </c>
      <c r="C58" s="3" t="s">
        <v>247</v>
      </c>
      <c r="D58" s="2" t="s">
        <v>248</v>
      </c>
      <c r="E58" s="2" t="s">
        <v>19</v>
      </c>
      <c r="F58" s="2" t="n">
        <v>1</v>
      </c>
      <c r="G58" s="2" t="s">
        <v>20</v>
      </c>
      <c r="H58" s="2" t="s">
        <v>21</v>
      </c>
      <c r="I58" s="2" t="s">
        <v>22</v>
      </c>
      <c r="J58" s="2" t="s">
        <v>249</v>
      </c>
      <c r="K58" s="4" t="str">
        <f aca="false">HYPERLINK("components-cad/" &amp; J58)</f>
        <v>components-cad/ISO4762_M8x16.FCStd</v>
      </c>
      <c r="L58" s="10" t="s">
        <v>24</v>
      </c>
      <c r="M58" s="1" t="str">
        <f aca="false">IFERROR(VLOOKUP(L58, suppliers!$A$1:$Z$1000, 2, 0), "Enter a valid uuid in the supplier_uuid column")</f>
        <v>Adolf Würth GmbH &amp; Co. KG</v>
      </c>
      <c r="N58" s="5" t="n">
        <v>0.1</v>
      </c>
      <c r="O58" s="2" t="s">
        <v>25</v>
      </c>
    </row>
    <row r="59" customFormat="false" ht="12.8" hidden="false" customHeight="false" outlineLevel="0" collapsed="false">
      <c r="A59" s="1" t="s">
        <v>250</v>
      </c>
      <c r="B59" s="10" t="s">
        <v>16</v>
      </c>
      <c r="C59" s="3" t="s">
        <v>251</v>
      </c>
      <c r="D59" s="2" t="s">
        <v>252</v>
      </c>
      <c r="E59" s="2" t="s">
        <v>19</v>
      </c>
      <c r="F59" s="2" t="n">
        <v>1</v>
      </c>
      <c r="G59" s="2" t="s">
        <v>20</v>
      </c>
      <c r="H59" s="2" t="s">
        <v>21</v>
      </c>
      <c r="I59" s="2" t="s">
        <v>22</v>
      </c>
      <c r="J59" s="2" t="s">
        <v>253</v>
      </c>
      <c r="K59" s="4" t="str">
        <f aca="false">HYPERLINK("components-cad/" &amp; J59)</f>
        <v>components-cad/ISO4762_M8x20.FCStd</v>
      </c>
      <c r="L59" s="10" t="s">
        <v>24</v>
      </c>
      <c r="M59" s="1" t="str">
        <f aca="false">IFERROR(VLOOKUP(L59, suppliers!$A$1:$Z$1000, 2, 0), "Enter a valid uuid in the supplier_uuid column")</f>
        <v>Adolf Würth GmbH &amp; Co. KG</v>
      </c>
      <c r="N59" s="5" t="n">
        <v>0.1</v>
      </c>
      <c r="O59" s="2" t="s">
        <v>25</v>
      </c>
    </row>
    <row r="60" customFormat="false" ht="12.8" hidden="false" customHeight="false" outlineLevel="0" collapsed="false">
      <c r="A60" s="1" t="s">
        <v>254</v>
      </c>
      <c r="B60" s="10" t="s">
        <v>16</v>
      </c>
      <c r="C60" s="3" t="s">
        <v>255</v>
      </c>
      <c r="D60" s="2" t="s">
        <v>256</v>
      </c>
      <c r="E60" s="2" t="s">
        <v>19</v>
      </c>
      <c r="F60" s="2" t="n">
        <v>1</v>
      </c>
      <c r="G60" s="2" t="s">
        <v>20</v>
      </c>
      <c r="H60" s="2" t="s">
        <v>21</v>
      </c>
      <c r="I60" s="2" t="s">
        <v>22</v>
      </c>
      <c r="J60" s="2" t="s">
        <v>257</v>
      </c>
      <c r="K60" s="4" t="str">
        <f aca="false">HYPERLINK("components-cad/" &amp; J60)</f>
        <v>components-cad/ISO4762_M8x25.FCStd</v>
      </c>
      <c r="L60" s="10" t="s">
        <v>24</v>
      </c>
      <c r="M60" s="1" t="str">
        <f aca="false">IFERROR(VLOOKUP(L60, suppliers!$A$1:$Z$1000, 2, 0), "Enter a valid uuid in the supplier_uuid column")</f>
        <v>Adolf Würth GmbH &amp; Co. KG</v>
      </c>
      <c r="N60" s="5" t="n">
        <v>0.1</v>
      </c>
      <c r="O60" s="2" t="s">
        <v>25</v>
      </c>
    </row>
    <row r="61" customFormat="false" ht="12.8" hidden="false" customHeight="false" outlineLevel="0" collapsed="false">
      <c r="A61" s="1" t="s">
        <v>258</v>
      </c>
      <c r="B61" s="10" t="s">
        <v>16</v>
      </c>
      <c r="C61" s="3" t="s">
        <v>259</v>
      </c>
      <c r="D61" s="2" t="s">
        <v>260</v>
      </c>
      <c r="E61" s="2" t="s">
        <v>19</v>
      </c>
      <c r="F61" s="2" t="n">
        <v>1</v>
      </c>
      <c r="G61" s="2" t="s">
        <v>20</v>
      </c>
      <c r="H61" s="2" t="s">
        <v>21</v>
      </c>
      <c r="I61" s="2" t="s">
        <v>22</v>
      </c>
      <c r="J61" s="2" t="s">
        <v>261</v>
      </c>
      <c r="K61" s="4" t="str">
        <f aca="false">HYPERLINK("components-cad/" &amp; J61)</f>
        <v>components-cad/ISO4762_M8x30.FCStd</v>
      </c>
      <c r="L61" s="10" t="s">
        <v>24</v>
      </c>
      <c r="M61" s="1" t="str">
        <f aca="false">IFERROR(VLOOKUP(L61, suppliers!$A$1:$Z$1000, 2, 0), "Enter a valid uuid in the supplier_uuid column")</f>
        <v>Adolf Würth GmbH &amp; Co. KG</v>
      </c>
      <c r="N61" s="5" t="n">
        <v>0.1</v>
      </c>
      <c r="O61" s="2" t="s">
        <v>25</v>
      </c>
    </row>
    <row r="62" customFormat="false" ht="12.8" hidden="false" customHeight="false" outlineLevel="0" collapsed="false">
      <c r="A62" s="1" t="s">
        <v>262</v>
      </c>
      <c r="B62" s="10" t="s">
        <v>16</v>
      </c>
      <c r="C62" s="3" t="s">
        <v>263</v>
      </c>
      <c r="D62" s="2" t="s">
        <v>264</v>
      </c>
      <c r="E62" s="2" t="s">
        <v>19</v>
      </c>
      <c r="F62" s="2" t="n">
        <v>1</v>
      </c>
      <c r="G62" s="2" t="s">
        <v>20</v>
      </c>
      <c r="H62" s="2" t="s">
        <v>21</v>
      </c>
      <c r="I62" s="2" t="s">
        <v>22</v>
      </c>
      <c r="J62" s="2" t="s">
        <v>265</v>
      </c>
      <c r="K62" s="4" t="str">
        <f aca="false">HYPERLINK("components-cad/" &amp; J62)</f>
        <v>components-cad/ISO4762_M8x35.FCStd</v>
      </c>
      <c r="L62" s="10" t="s">
        <v>24</v>
      </c>
      <c r="M62" s="1" t="str">
        <f aca="false">IFERROR(VLOOKUP(L62, suppliers!$A$1:$Z$1000, 2, 0), "Enter a valid uuid in the supplier_uuid column")</f>
        <v>Adolf Würth GmbH &amp; Co. KG</v>
      </c>
      <c r="N62" s="5" t="n">
        <v>0.1</v>
      </c>
      <c r="O62" s="2" t="s">
        <v>25</v>
      </c>
    </row>
    <row r="63" customFormat="false" ht="12.8" hidden="false" customHeight="false" outlineLevel="0" collapsed="false">
      <c r="A63" s="1" t="s">
        <v>266</v>
      </c>
      <c r="B63" s="10" t="s">
        <v>16</v>
      </c>
      <c r="C63" s="3" t="s">
        <v>267</v>
      </c>
      <c r="D63" s="2" t="s">
        <v>268</v>
      </c>
      <c r="E63" s="2" t="s">
        <v>19</v>
      </c>
      <c r="F63" s="2" t="n">
        <v>1</v>
      </c>
      <c r="G63" s="2" t="s">
        <v>20</v>
      </c>
      <c r="H63" s="2" t="s">
        <v>21</v>
      </c>
      <c r="I63" s="2" t="s">
        <v>22</v>
      </c>
      <c r="J63" s="2" t="s">
        <v>269</v>
      </c>
      <c r="K63" s="4" t="str">
        <f aca="false">HYPERLINK("components-cad/" &amp; J63)</f>
        <v>components-cad/ISO4762_M8x40.FCStd</v>
      </c>
      <c r="L63" s="10" t="s">
        <v>24</v>
      </c>
      <c r="M63" s="1" t="str">
        <f aca="false">IFERROR(VLOOKUP(L63, suppliers!$A$1:$Z$1000, 2, 0), "Enter a valid uuid in the supplier_uuid column")</f>
        <v>Adolf Würth GmbH &amp; Co. KG</v>
      </c>
      <c r="N63" s="5" t="n">
        <v>0.1</v>
      </c>
      <c r="O63" s="2" t="s">
        <v>25</v>
      </c>
    </row>
    <row r="64" customFormat="false" ht="12.8" hidden="false" customHeight="false" outlineLevel="0" collapsed="false">
      <c r="A64" s="1" t="s">
        <v>270</v>
      </c>
      <c r="B64" s="10" t="s">
        <v>16</v>
      </c>
      <c r="C64" s="3" t="s">
        <v>271</v>
      </c>
      <c r="D64" s="2" t="s">
        <v>272</v>
      </c>
      <c r="E64" s="2" t="s">
        <v>19</v>
      </c>
      <c r="F64" s="2" t="n">
        <v>1</v>
      </c>
      <c r="G64" s="2" t="s">
        <v>20</v>
      </c>
      <c r="H64" s="2" t="s">
        <v>21</v>
      </c>
      <c r="I64" s="2" t="s">
        <v>22</v>
      </c>
      <c r="J64" s="2" t="s">
        <v>273</v>
      </c>
      <c r="K64" s="4" t="str">
        <f aca="false">HYPERLINK("components-cad/" &amp; J64)</f>
        <v>components-cad/ISO4762_M8x45.FCStd</v>
      </c>
      <c r="L64" s="10" t="s">
        <v>24</v>
      </c>
      <c r="M64" s="1" t="str">
        <f aca="false">IFERROR(VLOOKUP(L64, suppliers!$A$1:$Z$1000, 2, 0), "Enter a valid uuid in the supplier_uuid column")</f>
        <v>Adolf Würth GmbH &amp; Co. KG</v>
      </c>
      <c r="N64" s="5" t="n">
        <v>0.1</v>
      </c>
      <c r="O64" s="2" t="s">
        <v>25</v>
      </c>
    </row>
    <row r="65" customFormat="false" ht="12.8" hidden="false" customHeight="false" outlineLevel="0" collapsed="false">
      <c r="A65" s="1" t="s">
        <v>274</v>
      </c>
      <c r="B65" s="10" t="s">
        <v>16</v>
      </c>
      <c r="C65" s="3" t="s">
        <v>275</v>
      </c>
      <c r="D65" s="2" t="s">
        <v>276</v>
      </c>
      <c r="E65" s="2" t="s">
        <v>19</v>
      </c>
      <c r="F65" s="2" t="n">
        <v>1</v>
      </c>
      <c r="G65" s="2" t="s">
        <v>20</v>
      </c>
      <c r="H65" s="2" t="s">
        <v>21</v>
      </c>
      <c r="I65" s="2" t="s">
        <v>22</v>
      </c>
      <c r="J65" s="2" t="s">
        <v>277</v>
      </c>
      <c r="K65" s="4" t="str">
        <f aca="false">HYPERLINK("components-cad/" &amp; J65)</f>
        <v>components-cad/ISO4762_M8x50.FCStd</v>
      </c>
      <c r="L65" s="10" t="s">
        <v>24</v>
      </c>
      <c r="M65" s="1" t="str">
        <f aca="false">IFERROR(VLOOKUP(L65, suppliers!$A$1:$Z$1000, 2, 0), "Enter a valid uuid in the supplier_uuid column")</f>
        <v>Adolf Würth GmbH &amp; Co. KG</v>
      </c>
      <c r="N65" s="5" t="n">
        <v>0.1</v>
      </c>
      <c r="O65" s="2" t="s">
        <v>25</v>
      </c>
    </row>
    <row r="66" customFormat="false" ht="12.8" hidden="false" customHeight="false" outlineLevel="0" collapsed="false">
      <c r="A66" s="1" t="s">
        <v>278</v>
      </c>
      <c r="B66" s="10" t="s">
        <v>16</v>
      </c>
      <c r="C66" s="3" t="s">
        <v>279</v>
      </c>
      <c r="D66" s="2" t="s">
        <v>280</v>
      </c>
      <c r="E66" s="2" t="s">
        <v>19</v>
      </c>
      <c r="F66" s="2" t="n">
        <v>1</v>
      </c>
      <c r="G66" s="2" t="s">
        <v>20</v>
      </c>
      <c r="H66" s="2" t="s">
        <v>21</v>
      </c>
      <c r="I66" s="2" t="s">
        <v>22</v>
      </c>
      <c r="J66" s="2" t="s">
        <v>281</v>
      </c>
      <c r="K66" s="4" t="str">
        <f aca="false">HYPERLINK("components-cad/" &amp; J66)</f>
        <v>components-cad/ISO4762_M8x55.FCStd</v>
      </c>
      <c r="L66" s="10" t="s">
        <v>24</v>
      </c>
      <c r="M66" s="1" t="str">
        <f aca="false">IFERROR(VLOOKUP(L66, suppliers!$A$1:$Z$1000, 2, 0), "Enter a valid uuid in the supplier_uuid column")</f>
        <v>Adolf Würth GmbH &amp; Co. KG</v>
      </c>
      <c r="N66" s="5" t="n">
        <v>0.1</v>
      </c>
      <c r="O66" s="2" t="s">
        <v>25</v>
      </c>
    </row>
    <row r="67" customFormat="false" ht="12.8" hidden="false" customHeight="false" outlineLevel="0" collapsed="false">
      <c r="A67" s="1" t="s">
        <v>282</v>
      </c>
      <c r="B67" s="10" t="s">
        <v>16</v>
      </c>
      <c r="C67" s="3" t="s">
        <v>283</v>
      </c>
      <c r="D67" s="2" t="s">
        <v>284</v>
      </c>
      <c r="E67" s="2" t="s">
        <v>19</v>
      </c>
      <c r="F67" s="2" t="n">
        <v>1</v>
      </c>
      <c r="G67" s="2" t="s">
        <v>20</v>
      </c>
      <c r="H67" s="2" t="s">
        <v>21</v>
      </c>
      <c r="I67" s="2" t="s">
        <v>22</v>
      </c>
      <c r="J67" s="2" t="s">
        <v>285</v>
      </c>
      <c r="K67" s="4" t="str">
        <f aca="false">HYPERLINK("components-cad/" &amp; J67)</f>
        <v>components-cad/ISO4762_M8x60.FCStd</v>
      </c>
      <c r="L67" s="10" t="s">
        <v>24</v>
      </c>
      <c r="M67" s="1" t="str">
        <f aca="false">IFERROR(VLOOKUP(L67, suppliers!$A$1:$Z$1000, 2, 0), "Enter a valid uuid in the supplier_uuid column")</f>
        <v>Adolf Würth GmbH &amp; Co. KG</v>
      </c>
      <c r="N67" s="5" t="n">
        <v>0.1</v>
      </c>
      <c r="O67" s="2" t="s">
        <v>25</v>
      </c>
    </row>
    <row r="68" customFormat="false" ht="12.8" hidden="false" customHeight="false" outlineLevel="0" collapsed="false">
      <c r="A68" s="1" t="s">
        <v>286</v>
      </c>
      <c r="B68" s="10" t="s">
        <v>16</v>
      </c>
      <c r="C68" s="3" t="s">
        <v>287</v>
      </c>
      <c r="D68" s="2" t="s">
        <v>288</v>
      </c>
      <c r="E68" s="2" t="s">
        <v>19</v>
      </c>
      <c r="F68" s="2" t="n">
        <v>1</v>
      </c>
      <c r="G68" s="2" t="s">
        <v>20</v>
      </c>
      <c r="H68" s="2" t="s">
        <v>21</v>
      </c>
      <c r="I68" s="2" t="s">
        <v>22</v>
      </c>
      <c r="J68" s="2" t="s">
        <v>289</v>
      </c>
      <c r="K68" s="4" t="str">
        <f aca="false">HYPERLINK("components-cad/" &amp; J68)</f>
        <v>components-cad/ISO4762_M8x65.FCStd</v>
      </c>
      <c r="L68" s="10" t="s">
        <v>24</v>
      </c>
      <c r="M68" s="1" t="str">
        <f aca="false">IFERROR(VLOOKUP(L68, suppliers!$A$1:$Z$1000, 2, 0), "Enter a valid uuid in the supplier_uuid column")</f>
        <v>Adolf Würth GmbH &amp; Co. KG</v>
      </c>
      <c r="N68" s="5" t="n">
        <v>0.1</v>
      </c>
      <c r="O68" s="2" t="s">
        <v>25</v>
      </c>
    </row>
    <row r="69" customFormat="false" ht="12.8" hidden="false" customHeight="false" outlineLevel="0" collapsed="false">
      <c r="A69" s="1" t="s">
        <v>290</v>
      </c>
      <c r="B69" s="10" t="s">
        <v>16</v>
      </c>
      <c r="C69" s="3" t="s">
        <v>291</v>
      </c>
      <c r="D69" s="2" t="s">
        <v>292</v>
      </c>
      <c r="E69" s="2" t="s">
        <v>19</v>
      </c>
      <c r="F69" s="2" t="n">
        <v>1</v>
      </c>
      <c r="G69" s="2" t="s">
        <v>20</v>
      </c>
      <c r="H69" s="2" t="s">
        <v>21</v>
      </c>
      <c r="I69" s="2" t="s">
        <v>22</v>
      </c>
      <c r="J69" s="2" t="s">
        <v>293</v>
      </c>
      <c r="K69" s="4" t="str">
        <f aca="false">HYPERLINK("components-cad/" &amp; J69)</f>
        <v>components-cad/ISO4762_M8x70.FCStd</v>
      </c>
      <c r="L69" s="10" t="s">
        <v>24</v>
      </c>
      <c r="M69" s="1" t="str">
        <f aca="false">IFERROR(VLOOKUP(L69, suppliers!$A$1:$Z$1000, 2, 0), "Enter a valid uuid in the supplier_uuid column")</f>
        <v>Adolf Würth GmbH &amp; Co. KG</v>
      </c>
      <c r="N69" s="5" t="n">
        <v>0.1</v>
      </c>
      <c r="O69" s="2" t="s">
        <v>25</v>
      </c>
    </row>
    <row r="70" customFormat="false" ht="12.8" hidden="false" customHeight="false" outlineLevel="0" collapsed="false">
      <c r="A70" s="1" t="s">
        <v>294</v>
      </c>
      <c r="B70" s="10" t="s">
        <v>16</v>
      </c>
      <c r="C70" s="3" t="s">
        <v>295</v>
      </c>
      <c r="D70" s="2" t="s">
        <v>296</v>
      </c>
      <c r="E70" s="2" t="s">
        <v>19</v>
      </c>
      <c r="F70" s="2" t="n">
        <v>1</v>
      </c>
      <c r="G70" s="2" t="s">
        <v>20</v>
      </c>
      <c r="H70" s="2" t="s">
        <v>21</v>
      </c>
      <c r="I70" s="2" t="s">
        <v>22</v>
      </c>
      <c r="J70" s="2" t="s">
        <v>297</v>
      </c>
      <c r="K70" s="4" t="str">
        <f aca="false">HYPERLINK("components-cad/" &amp; J70)</f>
        <v>components-cad/ISO4762_M8x75.FCStd</v>
      </c>
      <c r="L70" s="10" t="s">
        <v>24</v>
      </c>
      <c r="M70" s="1" t="str">
        <f aca="false">IFERROR(VLOOKUP(L70, suppliers!$A$1:$Z$1000, 2, 0), "Enter a valid uuid in the supplier_uuid column")</f>
        <v>Adolf Würth GmbH &amp; Co. KG</v>
      </c>
      <c r="N70" s="5" t="n">
        <v>0.1</v>
      </c>
      <c r="O70" s="2" t="s">
        <v>25</v>
      </c>
    </row>
    <row r="71" customFormat="false" ht="12.8" hidden="false" customHeight="false" outlineLevel="0" collapsed="false">
      <c r="A71" s="1" t="s">
        <v>298</v>
      </c>
      <c r="B71" s="10" t="s">
        <v>16</v>
      </c>
      <c r="C71" s="3" t="s">
        <v>299</v>
      </c>
      <c r="D71" s="2" t="s">
        <v>300</v>
      </c>
      <c r="E71" s="2" t="s">
        <v>19</v>
      </c>
      <c r="F71" s="2" t="n">
        <v>1</v>
      </c>
      <c r="G71" s="2" t="s">
        <v>20</v>
      </c>
      <c r="H71" s="2" t="s">
        <v>21</v>
      </c>
      <c r="I71" s="2" t="s">
        <v>22</v>
      </c>
      <c r="J71" s="2" t="s">
        <v>301</v>
      </c>
      <c r="K71" s="4" t="str">
        <f aca="false">HYPERLINK("components-cad/" &amp; J71)</f>
        <v>components-cad/ISO4762_M8x80.FCStd</v>
      </c>
      <c r="L71" s="10" t="s">
        <v>24</v>
      </c>
      <c r="M71" s="1" t="str">
        <f aca="false">IFERROR(VLOOKUP(L71, suppliers!$A$1:$Z$1000, 2, 0), "Enter a valid uuid in the supplier_uuid column")</f>
        <v>Adolf Würth GmbH &amp; Co. KG</v>
      </c>
      <c r="N71" s="5" t="n">
        <v>0.1</v>
      </c>
      <c r="O71" s="2" t="s">
        <v>25</v>
      </c>
    </row>
    <row r="72" customFormat="false" ht="12.8" hidden="false" customHeight="false" outlineLevel="0" collapsed="false">
      <c r="A72" s="1" t="s">
        <v>302</v>
      </c>
      <c r="B72" s="10" t="s">
        <v>16</v>
      </c>
      <c r="C72" s="3" t="s">
        <v>303</v>
      </c>
      <c r="D72" s="2" t="s">
        <v>304</v>
      </c>
      <c r="E72" s="2" t="s">
        <v>305</v>
      </c>
      <c r="F72" s="2" t="n">
        <v>1</v>
      </c>
      <c r="G72" s="2" t="s">
        <v>20</v>
      </c>
      <c r="H72" s="2" t="s">
        <v>21</v>
      </c>
      <c r="I72" s="2" t="s">
        <v>22</v>
      </c>
      <c r="J72" s="2" t="s">
        <v>306</v>
      </c>
      <c r="K72" s="4" t="str">
        <f aca="false">HYPERLINK("components-cad/" &amp; J72)</f>
        <v>components-cad/DIN_934_M3.FCStd</v>
      </c>
      <c r="L72" s="10" t="s">
        <v>24</v>
      </c>
      <c r="M72" s="1" t="str">
        <f aca="false">IFERROR(VLOOKUP(L72, suppliers!$A$1:$Z$1000, 2, 0), "Enter a valid uuid in the supplier_uuid column")</f>
        <v>Adolf Würth GmbH &amp; Co. KG</v>
      </c>
      <c r="N72" s="5" t="n">
        <v>0.1</v>
      </c>
      <c r="O72" s="2" t="s">
        <v>25</v>
      </c>
    </row>
    <row r="73" customFormat="false" ht="12.8" hidden="false" customHeight="false" outlineLevel="0" collapsed="false">
      <c r="A73" s="1" t="s">
        <v>307</v>
      </c>
      <c r="B73" s="10" t="s">
        <v>16</v>
      </c>
      <c r="C73" s="3" t="s">
        <v>308</v>
      </c>
      <c r="D73" s="2" t="s">
        <v>309</v>
      </c>
      <c r="E73" s="2" t="s">
        <v>305</v>
      </c>
      <c r="F73" s="2" t="n">
        <v>1</v>
      </c>
      <c r="G73" s="2" t="s">
        <v>20</v>
      </c>
      <c r="H73" s="2" t="s">
        <v>21</v>
      </c>
      <c r="I73" s="2" t="s">
        <v>22</v>
      </c>
      <c r="J73" s="2" t="s">
        <v>310</v>
      </c>
      <c r="K73" s="4" t="str">
        <f aca="false">HYPERLINK("components-cad/" &amp; J73)</f>
        <v>components-cad/DIN_934_M4.FCStd</v>
      </c>
      <c r="L73" s="10" t="s">
        <v>24</v>
      </c>
      <c r="M73" s="1" t="str">
        <f aca="false">IFERROR(VLOOKUP(L73, suppliers!$A$1:$Z$1000, 2, 0), "Enter a valid uuid in the supplier_uuid column")</f>
        <v>Adolf Würth GmbH &amp; Co. KG</v>
      </c>
      <c r="N73" s="5" t="n">
        <v>0.1</v>
      </c>
      <c r="O73" s="2" t="s">
        <v>25</v>
      </c>
    </row>
    <row r="74" customFormat="false" ht="12.8" hidden="false" customHeight="false" outlineLevel="0" collapsed="false">
      <c r="A74" s="1" t="s">
        <v>311</v>
      </c>
      <c r="B74" s="10" t="s">
        <v>16</v>
      </c>
      <c r="C74" s="3" t="s">
        <v>312</v>
      </c>
      <c r="D74" s="2" t="s">
        <v>313</v>
      </c>
      <c r="E74" s="2" t="s">
        <v>305</v>
      </c>
      <c r="F74" s="2" t="n">
        <v>1</v>
      </c>
      <c r="G74" s="2" t="s">
        <v>20</v>
      </c>
      <c r="H74" s="2" t="s">
        <v>21</v>
      </c>
      <c r="I74" s="2" t="s">
        <v>22</v>
      </c>
      <c r="J74" s="2" t="s">
        <v>314</v>
      </c>
      <c r="K74" s="4" t="str">
        <f aca="false">HYPERLINK("components-cad/" &amp; J74)</f>
        <v>components-cad/DIN_934_M5.FCStd</v>
      </c>
      <c r="L74" s="10" t="s">
        <v>24</v>
      </c>
      <c r="M74" s="1" t="str">
        <f aca="false">IFERROR(VLOOKUP(L74, suppliers!$A$1:$Z$1000, 2, 0), "Enter a valid uuid in the supplier_uuid column")</f>
        <v>Adolf Würth GmbH &amp; Co. KG</v>
      </c>
      <c r="N74" s="5" t="n">
        <v>0.1</v>
      </c>
      <c r="O74" s="2" t="s">
        <v>25</v>
      </c>
    </row>
    <row r="75" customFormat="false" ht="12.8" hidden="false" customHeight="false" outlineLevel="0" collapsed="false">
      <c r="A75" s="1" t="s">
        <v>315</v>
      </c>
      <c r="B75" s="10" t="s">
        <v>16</v>
      </c>
      <c r="C75" s="3" t="s">
        <v>316</v>
      </c>
      <c r="D75" s="2" t="s">
        <v>317</v>
      </c>
      <c r="E75" s="2" t="s">
        <v>305</v>
      </c>
      <c r="F75" s="2" t="n">
        <v>1</v>
      </c>
      <c r="G75" s="2" t="s">
        <v>20</v>
      </c>
      <c r="H75" s="2" t="s">
        <v>21</v>
      </c>
      <c r="I75" s="2" t="s">
        <v>22</v>
      </c>
      <c r="J75" s="2" t="s">
        <v>318</v>
      </c>
      <c r="K75" s="4" t="str">
        <f aca="false">HYPERLINK("components-cad/" &amp; J75)</f>
        <v>components-cad/DIN_934_M6.FCStd</v>
      </c>
      <c r="L75" s="10" t="s">
        <v>24</v>
      </c>
      <c r="M75" s="1" t="str">
        <f aca="false">IFERROR(VLOOKUP(L75, suppliers!$A$1:$Z$1000, 2, 0), "Enter a valid uuid in the supplier_uuid column")</f>
        <v>Adolf Würth GmbH &amp; Co. KG</v>
      </c>
      <c r="N75" s="5" t="n">
        <v>0.1</v>
      </c>
      <c r="O75" s="2" t="s">
        <v>25</v>
      </c>
    </row>
    <row r="76" customFormat="false" ht="12.8" hidden="false" customHeight="false" outlineLevel="0" collapsed="false">
      <c r="A76" s="1" t="s">
        <v>319</v>
      </c>
      <c r="B76" s="10" t="s">
        <v>16</v>
      </c>
      <c r="C76" s="3" t="s">
        <v>320</v>
      </c>
      <c r="D76" s="2" t="s">
        <v>321</v>
      </c>
      <c r="E76" s="2" t="s">
        <v>305</v>
      </c>
      <c r="F76" s="2" t="n">
        <v>1</v>
      </c>
      <c r="G76" s="2" t="s">
        <v>20</v>
      </c>
      <c r="H76" s="2" t="s">
        <v>21</v>
      </c>
      <c r="I76" s="2" t="s">
        <v>22</v>
      </c>
      <c r="J76" s="2" t="s">
        <v>322</v>
      </c>
      <c r="K76" s="4" t="str">
        <f aca="false">HYPERLINK("components-cad/" &amp; J76)</f>
        <v>components-cad/DIN_934_M8.FCStd</v>
      </c>
      <c r="L76" s="10" t="s">
        <v>24</v>
      </c>
      <c r="M76" s="1" t="str">
        <f aca="false">IFERROR(VLOOKUP(L76, suppliers!$A$1:$Z$1000, 2, 0), "Enter a valid uuid in the supplier_uuid column")</f>
        <v>Adolf Würth GmbH &amp; Co. KG</v>
      </c>
      <c r="N76" s="5" t="n">
        <v>0.1</v>
      </c>
      <c r="O76" s="2" t="s">
        <v>25</v>
      </c>
    </row>
    <row r="77" customFormat="false" ht="12.8" hidden="false" customHeight="false" outlineLevel="0" collapsed="false">
      <c r="A77" s="1" t="s">
        <v>323</v>
      </c>
      <c r="B77" s="10" t="s">
        <v>16</v>
      </c>
      <c r="C77" s="3" t="s">
        <v>324</v>
      </c>
      <c r="D77" s="2" t="s">
        <v>325</v>
      </c>
      <c r="E77" s="2" t="s">
        <v>326</v>
      </c>
      <c r="F77" s="2" t="n">
        <v>1</v>
      </c>
      <c r="G77" s="2" t="s">
        <v>20</v>
      </c>
      <c r="H77" s="2" t="s">
        <v>21</v>
      </c>
      <c r="I77" s="2" t="s">
        <v>22</v>
      </c>
      <c r="J77" s="2" t="s">
        <v>327</v>
      </c>
      <c r="K77" s="4" t="str">
        <f aca="false">HYPERLINK("components-cad/" &amp; J77)</f>
        <v>components-cad/ISO_7089_M3.FCStd</v>
      </c>
      <c r="L77" s="10" t="s">
        <v>24</v>
      </c>
      <c r="M77" s="1" t="str">
        <f aca="false">IFERROR(VLOOKUP(L77, suppliers!$A$1:$Z$1000, 2, 0), "Enter a valid uuid in the supplier_uuid column")</f>
        <v>Adolf Würth GmbH &amp; Co. KG</v>
      </c>
      <c r="N77" s="5" t="n">
        <v>0.1</v>
      </c>
      <c r="O77" s="2" t="s">
        <v>25</v>
      </c>
    </row>
    <row r="78" customFormat="false" ht="12.8" hidden="false" customHeight="false" outlineLevel="0" collapsed="false">
      <c r="A78" s="1" t="s">
        <v>328</v>
      </c>
      <c r="B78" s="10" t="s">
        <v>16</v>
      </c>
      <c r="C78" s="3" t="s">
        <v>329</v>
      </c>
      <c r="D78" s="2" t="s">
        <v>330</v>
      </c>
      <c r="E78" s="2" t="s">
        <v>326</v>
      </c>
      <c r="F78" s="2" t="n">
        <v>1</v>
      </c>
      <c r="G78" s="2" t="s">
        <v>20</v>
      </c>
      <c r="H78" s="2" t="s">
        <v>21</v>
      </c>
      <c r="I78" s="2" t="s">
        <v>22</v>
      </c>
      <c r="J78" s="2" t="s">
        <v>331</v>
      </c>
      <c r="K78" s="4" t="str">
        <f aca="false">HYPERLINK("components-cad/" &amp; J78)</f>
        <v>components-cad/ISO_7089_M4.FCStd</v>
      </c>
      <c r="L78" s="10" t="s">
        <v>24</v>
      </c>
      <c r="M78" s="1" t="str">
        <f aca="false">IFERROR(VLOOKUP(L78, suppliers!$A$1:$Z$1000, 2, 0), "Enter a valid uuid in the supplier_uuid column")</f>
        <v>Adolf Würth GmbH &amp; Co. KG</v>
      </c>
      <c r="N78" s="5" t="n">
        <v>0.1</v>
      </c>
      <c r="O78" s="2" t="s">
        <v>25</v>
      </c>
    </row>
    <row r="79" customFormat="false" ht="12.8" hidden="false" customHeight="false" outlineLevel="0" collapsed="false">
      <c r="A79" s="1" t="s">
        <v>332</v>
      </c>
      <c r="B79" s="10" t="s">
        <v>16</v>
      </c>
      <c r="C79" s="3" t="s">
        <v>333</v>
      </c>
      <c r="D79" s="2" t="s">
        <v>334</v>
      </c>
      <c r="E79" s="2" t="s">
        <v>326</v>
      </c>
      <c r="F79" s="2" t="n">
        <v>1</v>
      </c>
      <c r="G79" s="2" t="s">
        <v>20</v>
      </c>
      <c r="H79" s="2" t="s">
        <v>21</v>
      </c>
      <c r="I79" s="2" t="s">
        <v>22</v>
      </c>
      <c r="J79" s="2" t="s">
        <v>335</v>
      </c>
      <c r="K79" s="4" t="str">
        <f aca="false">HYPERLINK("components-cad/" &amp; J79)</f>
        <v>components-cad/ISO_7089_M5.FCStd</v>
      </c>
      <c r="L79" s="10" t="s">
        <v>24</v>
      </c>
      <c r="M79" s="1" t="str">
        <f aca="false">IFERROR(VLOOKUP(L79, suppliers!$A$1:$Z$1000, 2, 0), "Enter a valid uuid in the supplier_uuid column")</f>
        <v>Adolf Würth GmbH &amp; Co. KG</v>
      </c>
      <c r="N79" s="5" t="n">
        <v>0.1</v>
      </c>
      <c r="O79" s="2" t="s">
        <v>25</v>
      </c>
    </row>
    <row r="80" customFormat="false" ht="12.8" hidden="false" customHeight="false" outlineLevel="0" collapsed="false">
      <c r="A80" s="1" t="s">
        <v>336</v>
      </c>
      <c r="B80" s="10" t="s">
        <v>16</v>
      </c>
      <c r="C80" s="3" t="s">
        <v>337</v>
      </c>
      <c r="D80" s="2" t="s">
        <v>338</v>
      </c>
      <c r="E80" s="2" t="s">
        <v>326</v>
      </c>
      <c r="F80" s="2" t="n">
        <v>1</v>
      </c>
      <c r="G80" s="2" t="s">
        <v>20</v>
      </c>
      <c r="H80" s="2" t="s">
        <v>21</v>
      </c>
      <c r="I80" s="2" t="s">
        <v>22</v>
      </c>
      <c r="J80" s="2" t="s">
        <v>339</v>
      </c>
      <c r="K80" s="4" t="str">
        <f aca="false">HYPERLINK("components-cad/" &amp; J80)</f>
        <v>components-cad/ISO_7089_M6.FCStd</v>
      </c>
      <c r="L80" s="10" t="s">
        <v>24</v>
      </c>
      <c r="M80" s="1" t="str">
        <f aca="false">IFERROR(VLOOKUP(L80, suppliers!$A$1:$Z$1000, 2, 0), "Enter a valid uuid in the supplier_uuid column")</f>
        <v>Adolf Würth GmbH &amp; Co. KG</v>
      </c>
      <c r="N80" s="5" t="n">
        <v>0.1</v>
      </c>
      <c r="O80" s="2" t="s">
        <v>25</v>
      </c>
    </row>
    <row r="81" customFormat="false" ht="12.8" hidden="false" customHeight="false" outlineLevel="0" collapsed="false">
      <c r="A81" s="1" t="s">
        <v>340</v>
      </c>
      <c r="B81" s="10" t="s">
        <v>16</v>
      </c>
      <c r="C81" s="3" t="s">
        <v>341</v>
      </c>
      <c r="D81" s="2" t="s">
        <v>342</v>
      </c>
      <c r="E81" s="2" t="s">
        <v>326</v>
      </c>
      <c r="F81" s="2" t="n">
        <v>1</v>
      </c>
      <c r="G81" s="2" t="s">
        <v>20</v>
      </c>
      <c r="H81" s="2" t="s">
        <v>21</v>
      </c>
      <c r="I81" s="2" t="s">
        <v>22</v>
      </c>
      <c r="J81" s="2" t="s">
        <v>343</v>
      </c>
      <c r="K81" s="4" t="str">
        <f aca="false">HYPERLINK("components-cad/" &amp; J81)</f>
        <v>components-cad/ISO_7089_M8.FCStd</v>
      </c>
      <c r="L81" s="10" t="s">
        <v>24</v>
      </c>
      <c r="M81" s="1" t="str">
        <f aca="false">IFERROR(VLOOKUP(L81, suppliers!$A$1:$Z$1000, 2, 0), "Enter a valid uuid in the supplier_uuid column")</f>
        <v>Adolf Würth GmbH &amp; Co. KG</v>
      </c>
      <c r="N81" s="5" t="n">
        <v>0.1</v>
      </c>
      <c r="O81" s="2" t="s">
        <v>25</v>
      </c>
    </row>
    <row r="82" customFormat="false" ht="12.8" hidden="false" customHeight="false" outlineLevel="0" collapsed="false">
      <c r="A82" s="1" t="s">
        <v>344</v>
      </c>
      <c r="B82" s="10" t="s">
        <v>345</v>
      </c>
      <c r="C82" s="3" t="s">
        <v>346</v>
      </c>
      <c r="D82" s="2" t="s">
        <v>347</v>
      </c>
      <c r="E82" s="2" t="s">
        <v>348</v>
      </c>
      <c r="F82" s="2" t="n">
        <v>1</v>
      </c>
      <c r="G82" s="2" t="s">
        <v>20</v>
      </c>
      <c r="H82" s="2" t="s">
        <v>21</v>
      </c>
      <c r="I82" s="2" t="s">
        <v>22</v>
      </c>
      <c r="J82" s="2" t="s">
        <v>349</v>
      </c>
      <c r="K82" s="4" t="str">
        <f aca="false">HYPERLINK("components-cad/" &amp; J82)</f>
        <v>components-cad/SBR12S_200.FCStd</v>
      </c>
      <c r="L82" s="10" t="s">
        <v>24</v>
      </c>
      <c r="M82" s="1" t="str">
        <f aca="false">IFERROR(VLOOKUP(L82, suppliers!$A$1:$Z$1000, 2, 0), "Enter a valid uuid in the supplier_uuid column")</f>
        <v>Adolf Würth GmbH &amp; Co. KG</v>
      </c>
      <c r="N82" s="5" t="n">
        <v>0.1</v>
      </c>
      <c r="O82" s="2" t="s">
        <v>25</v>
      </c>
    </row>
    <row r="83" customFormat="false" ht="12.8" hidden="false" customHeight="false" outlineLevel="0" collapsed="false">
      <c r="A83" s="1" t="s">
        <v>350</v>
      </c>
      <c r="B83" s="10" t="s">
        <v>345</v>
      </c>
      <c r="C83" s="3" t="s">
        <v>351</v>
      </c>
      <c r="D83" s="2" t="s">
        <v>352</v>
      </c>
      <c r="E83" s="2" t="s">
        <v>348</v>
      </c>
      <c r="F83" s="2" t="n">
        <v>1</v>
      </c>
      <c r="G83" s="2" t="s">
        <v>20</v>
      </c>
      <c r="H83" s="2" t="s">
        <v>21</v>
      </c>
      <c r="I83" s="2" t="s">
        <v>22</v>
      </c>
      <c r="J83" s="2" t="s">
        <v>353</v>
      </c>
      <c r="K83" s="4" t="str">
        <f aca="false">HYPERLINK("components-cad/" &amp; J83)</f>
        <v>components-cad/SBR12S_300.FCStd</v>
      </c>
      <c r="L83" s="10" t="s">
        <v>24</v>
      </c>
      <c r="M83" s="1" t="str">
        <f aca="false">IFERROR(VLOOKUP(L83, suppliers!$A$1:$Z$1000, 2, 0), "Enter a valid uuid in the supplier_uuid column")</f>
        <v>Adolf Würth GmbH &amp; Co. KG</v>
      </c>
      <c r="N83" s="5" t="n">
        <v>0.1</v>
      </c>
      <c r="O83" s="2" t="s">
        <v>25</v>
      </c>
    </row>
    <row r="84" customFormat="false" ht="12.8" hidden="false" customHeight="false" outlineLevel="0" collapsed="false">
      <c r="A84" s="1" t="s">
        <v>354</v>
      </c>
      <c r="B84" s="10" t="s">
        <v>345</v>
      </c>
      <c r="C84" s="3" t="s">
        <v>355</v>
      </c>
      <c r="D84" s="2" t="s">
        <v>356</v>
      </c>
      <c r="E84" s="2" t="s">
        <v>348</v>
      </c>
      <c r="F84" s="2" t="n">
        <v>1</v>
      </c>
      <c r="G84" s="2" t="s">
        <v>20</v>
      </c>
      <c r="H84" s="2" t="s">
        <v>21</v>
      </c>
      <c r="I84" s="2" t="s">
        <v>22</v>
      </c>
      <c r="J84" s="2" t="s">
        <v>357</v>
      </c>
      <c r="K84" s="4" t="str">
        <f aca="false">HYPERLINK("components-cad/" &amp; J84)</f>
        <v>components-cad/SBR12S_400.FCStd</v>
      </c>
      <c r="L84" s="10" t="s">
        <v>24</v>
      </c>
      <c r="M84" s="1" t="str">
        <f aca="false">IFERROR(VLOOKUP(L84, suppliers!$A$1:$Z$1000, 2, 0), "Enter a valid uuid in the supplier_uuid column")</f>
        <v>Adolf Würth GmbH &amp; Co. KG</v>
      </c>
      <c r="N84" s="5" t="n">
        <v>0.1</v>
      </c>
      <c r="O84" s="2" t="s">
        <v>25</v>
      </c>
    </row>
    <row r="85" customFormat="false" ht="12.8" hidden="false" customHeight="false" outlineLevel="0" collapsed="false">
      <c r="A85" s="1" t="s">
        <v>358</v>
      </c>
      <c r="B85" s="10" t="s">
        <v>345</v>
      </c>
      <c r="C85" s="3" t="s">
        <v>359</v>
      </c>
      <c r="D85" s="2" t="s">
        <v>360</v>
      </c>
      <c r="E85" s="2" t="s">
        <v>348</v>
      </c>
      <c r="F85" s="2" t="n">
        <v>1</v>
      </c>
      <c r="G85" s="2" t="s">
        <v>20</v>
      </c>
      <c r="H85" s="2" t="s">
        <v>21</v>
      </c>
      <c r="I85" s="2" t="s">
        <v>22</v>
      </c>
      <c r="J85" s="2" t="s">
        <v>361</v>
      </c>
      <c r="K85" s="4" t="str">
        <f aca="false">HYPERLINK("components-cad/" &amp; J85)</f>
        <v>components-cad/SBR12S_500.FCStd</v>
      </c>
      <c r="L85" s="10" t="s">
        <v>24</v>
      </c>
      <c r="M85" s="1" t="str">
        <f aca="false">IFERROR(VLOOKUP(L85, suppliers!$A$1:$Z$1000, 2, 0), "Enter a valid uuid in the supplier_uuid column")</f>
        <v>Adolf Würth GmbH &amp; Co. KG</v>
      </c>
      <c r="N85" s="5" t="n">
        <v>0.1</v>
      </c>
      <c r="O85" s="2" t="s">
        <v>25</v>
      </c>
    </row>
    <row r="86" customFormat="false" ht="12.8" hidden="false" customHeight="false" outlineLevel="0" collapsed="false">
      <c r="A86" s="1" t="s">
        <v>362</v>
      </c>
      <c r="B86" s="10" t="s">
        <v>345</v>
      </c>
      <c r="C86" s="3" t="s">
        <v>363</v>
      </c>
      <c r="D86" s="2" t="s">
        <v>364</v>
      </c>
      <c r="E86" s="2" t="s">
        <v>348</v>
      </c>
      <c r="F86" s="2" t="n">
        <v>1</v>
      </c>
      <c r="G86" s="2" t="s">
        <v>20</v>
      </c>
      <c r="H86" s="2" t="s">
        <v>21</v>
      </c>
      <c r="I86" s="2" t="s">
        <v>22</v>
      </c>
      <c r="J86" s="2" t="s">
        <v>365</v>
      </c>
      <c r="K86" s="4" t="str">
        <f aca="false">HYPERLINK("components-cad/" &amp; J86)</f>
        <v>components-cad/SBR12S_600.FCStd</v>
      </c>
      <c r="L86" s="10" t="s">
        <v>24</v>
      </c>
      <c r="M86" s="1" t="str">
        <f aca="false">IFERROR(VLOOKUP(L86, suppliers!$A$1:$Z$1000, 2, 0), "Enter a valid uuid in the supplier_uuid column")</f>
        <v>Adolf Würth GmbH &amp; Co. KG</v>
      </c>
      <c r="N86" s="5" t="n">
        <v>0.1</v>
      </c>
      <c r="O86" s="2" t="s">
        <v>25</v>
      </c>
    </row>
    <row r="87" customFormat="false" ht="12.8" hidden="false" customHeight="false" outlineLevel="0" collapsed="false">
      <c r="A87" s="1" t="s">
        <v>366</v>
      </c>
      <c r="B87" s="10" t="s">
        <v>345</v>
      </c>
      <c r="C87" s="3" t="s">
        <v>367</v>
      </c>
      <c r="D87" s="2" t="s">
        <v>368</v>
      </c>
      <c r="E87" s="2" t="s">
        <v>348</v>
      </c>
      <c r="F87" s="2" t="n">
        <v>1</v>
      </c>
      <c r="G87" s="2" t="s">
        <v>20</v>
      </c>
      <c r="H87" s="2" t="s">
        <v>21</v>
      </c>
      <c r="I87" s="2" t="s">
        <v>22</v>
      </c>
      <c r="J87" s="2" t="s">
        <v>369</v>
      </c>
      <c r="K87" s="4" t="str">
        <f aca="false">HYPERLINK("components-cad/" &amp; J87)</f>
        <v>components-cad/SBR12S_700.FCStd</v>
      </c>
      <c r="L87" s="10" t="s">
        <v>24</v>
      </c>
      <c r="M87" s="1" t="str">
        <f aca="false">IFERROR(VLOOKUP(L87, suppliers!$A$1:$Z$1000, 2, 0), "Enter a valid uuid in the supplier_uuid column")</f>
        <v>Adolf Würth GmbH &amp; Co. KG</v>
      </c>
      <c r="N87" s="5" t="n">
        <v>0.1</v>
      </c>
      <c r="O87" s="2" t="s">
        <v>25</v>
      </c>
    </row>
    <row r="88" customFormat="false" ht="12.8" hidden="false" customHeight="false" outlineLevel="0" collapsed="false">
      <c r="A88" s="1" t="s">
        <v>370</v>
      </c>
      <c r="B88" s="10" t="s">
        <v>345</v>
      </c>
      <c r="C88" s="3" t="s">
        <v>371</v>
      </c>
      <c r="D88" s="2" t="s">
        <v>372</v>
      </c>
      <c r="E88" s="2" t="s">
        <v>348</v>
      </c>
      <c r="F88" s="2" t="n">
        <v>1</v>
      </c>
      <c r="G88" s="2" t="s">
        <v>20</v>
      </c>
      <c r="H88" s="2" t="s">
        <v>21</v>
      </c>
      <c r="I88" s="2" t="s">
        <v>22</v>
      </c>
      <c r="J88" s="2" t="s">
        <v>373</v>
      </c>
      <c r="K88" s="4" t="str">
        <f aca="false">HYPERLINK("components-cad/" &amp; J88)</f>
        <v>components-cad/SBR12S_800.FCStd</v>
      </c>
      <c r="L88" s="10" t="s">
        <v>24</v>
      </c>
      <c r="M88" s="1" t="str">
        <f aca="false">IFERROR(VLOOKUP(L88, suppliers!$A$1:$Z$1000, 2, 0), "Enter a valid uuid in the supplier_uuid column")</f>
        <v>Adolf Würth GmbH &amp; Co. KG</v>
      </c>
      <c r="N88" s="5" t="n">
        <v>0.1</v>
      </c>
      <c r="O88" s="2" t="s">
        <v>25</v>
      </c>
    </row>
    <row r="89" customFormat="false" ht="12.8" hidden="false" customHeight="false" outlineLevel="0" collapsed="false">
      <c r="A89" s="1" t="s">
        <v>374</v>
      </c>
      <c r="B89" s="10" t="s">
        <v>345</v>
      </c>
      <c r="C89" s="3" t="s">
        <v>375</v>
      </c>
      <c r="D89" s="2" t="s">
        <v>376</v>
      </c>
      <c r="E89" s="2" t="s">
        <v>348</v>
      </c>
      <c r="F89" s="2" t="n">
        <v>1</v>
      </c>
      <c r="G89" s="2" t="s">
        <v>20</v>
      </c>
      <c r="H89" s="2" t="s">
        <v>21</v>
      </c>
      <c r="I89" s="2" t="s">
        <v>22</v>
      </c>
      <c r="J89" s="2" t="s">
        <v>377</v>
      </c>
      <c r="K89" s="4" t="str">
        <f aca="false">HYPERLINK("components-cad/" &amp; J89)</f>
        <v>components-cad/SBR12S_1000.FCStd</v>
      </c>
      <c r="L89" s="10" t="s">
        <v>24</v>
      </c>
      <c r="M89" s="1" t="str">
        <f aca="false">IFERROR(VLOOKUP(L89, suppliers!$A$1:$Z$1000, 2, 0), "Enter a valid uuid in the supplier_uuid column")</f>
        <v>Adolf Würth GmbH &amp; Co. KG</v>
      </c>
      <c r="N89" s="5" t="n">
        <v>0.1</v>
      </c>
      <c r="O89" s="2" t="s">
        <v>25</v>
      </c>
    </row>
    <row r="90" customFormat="false" ht="12.8" hidden="false" customHeight="false" outlineLevel="0" collapsed="false">
      <c r="A90" s="1" t="s">
        <v>378</v>
      </c>
      <c r="B90" s="10" t="s">
        <v>345</v>
      </c>
      <c r="C90" s="3" t="s">
        <v>379</v>
      </c>
      <c r="D90" s="2" t="s">
        <v>380</v>
      </c>
      <c r="E90" s="2" t="s">
        <v>348</v>
      </c>
      <c r="F90" s="2" t="n">
        <v>1</v>
      </c>
      <c r="G90" s="2" t="s">
        <v>20</v>
      </c>
      <c r="H90" s="2" t="s">
        <v>21</v>
      </c>
      <c r="I90" s="2" t="s">
        <v>22</v>
      </c>
      <c r="J90" s="2" t="s">
        <v>381</v>
      </c>
      <c r="K90" s="4" t="str">
        <f aca="false">HYPERLINK("components-cad/" &amp; J90)</f>
        <v>components-cad/SBR12S_1200.FCStd</v>
      </c>
      <c r="L90" s="10" t="s">
        <v>24</v>
      </c>
      <c r="M90" s="1" t="str">
        <f aca="false">IFERROR(VLOOKUP(L90, suppliers!$A$1:$Z$1000, 2, 0), "Enter a valid uuid in the supplier_uuid column")</f>
        <v>Adolf Würth GmbH &amp; Co. KG</v>
      </c>
      <c r="N90" s="5" t="n">
        <v>0.1</v>
      </c>
      <c r="O90" s="2" t="s">
        <v>25</v>
      </c>
    </row>
    <row r="91" customFormat="false" ht="12.8" hidden="false" customHeight="false" outlineLevel="0" collapsed="false">
      <c r="A91" s="1" t="s">
        <v>382</v>
      </c>
      <c r="B91" s="10" t="s">
        <v>345</v>
      </c>
      <c r="C91" s="3" t="s">
        <v>383</v>
      </c>
      <c r="D91" s="2" t="s">
        <v>384</v>
      </c>
      <c r="E91" s="2" t="s">
        <v>348</v>
      </c>
      <c r="F91" s="2" t="n">
        <v>1</v>
      </c>
      <c r="G91" s="2" t="s">
        <v>20</v>
      </c>
      <c r="H91" s="2" t="s">
        <v>21</v>
      </c>
      <c r="I91" s="2" t="s">
        <v>22</v>
      </c>
      <c r="J91" s="2" t="s">
        <v>385</v>
      </c>
      <c r="K91" s="4" t="str">
        <f aca="false">HYPERLINK("components-cad/" &amp; J91)</f>
        <v>components-cad/SBR12S_1500.FCStd</v>
      </c>
      <c r="L91" s="10" t="s">
        <v>24</v>
      </c>
      <c r="M91" s="1" t="str">
        <f aca="false">IFERROR(VLOOKUP(L91, suppliers!$A$1:$Z$1000, 2, 0), "Enter a valid uuid in the supplier_uuid column")</f>
        <v>Adolf Würth GmbH &amp; Co. KG</v>
      </c>
      <c r="N91" s="5" t="n">
        <v>0.1</v>
      </c>
      <c r="O91" s="2" t="s">
        <v>25</v>
      </c>
    </row>
    <row r="92" customFormat="false" ht="12.8" hidden="false" customHeight="false" outlineLevel="0" collapsed="false">
      <c r="A92" s="1" t="s">
        <v>386</v>
      </c>
      <c r="B92" s="10" t="s">
        <v>345</v>
      </c>
      <c r="C92" s="3" t="s">
        <v>387</v>
      </c>
      <c r="D92" s="2" t="s">
        <v>388</v>
      </c>
      <c r="E92" s="2" t="s">
        <v>348</v>
      </c>
      <c r="F92" s="2" t="n">
        <v>1</v>
      </c>
      <c r="G92" s="2" t="s">
        <v>20</v>
      </c>
      <c r="H92" s="2" t="s">
        <v>21</v>
      </c>
      <c r="I92" s="2" t="s">
        <v>22</v>
      </c>
      <c r="J92" s="2" t="s">
        <v>389</v>
      </c>
      <c r="K92" s="4" t="str">
        <f aca="false">HYPERLINK("components-cad/" &amp; J92)</f>
        <v>components-cad/SBR16S_200.FCStd</v>
      </c>
      <c r="L92" s="10" t="s">
        <v>24</v>
      </c>
      <c r="M92" s="1" t="str">
        <f aca="false">IFERROR(VLOOKUP(L92, suppliers!$A$1:$Z$1000, 2, 0), "Enter a valid uuid in the supplier_uuid column")</f>
        <v>Adolf Würth GmbH &amp; Co. KG</v>
      </c>
      <c r="N92" s="5" t="n">
        <v>0.1</v>
      </c>
      <c r="O92" s="2" t="s">
        <v>25</v>
      </c>
    </row>
    <row r="93" customFormat="false" ht="12.8" hidden="false" customHeight="false" outlineLevel="0" collapsed="false">
      <c r="A93" s="1" t="s">
        <v>390</v>
      </c>
      <c r="B93" s="10" t="s">
        <v>345</v>
      </c>
      <c r="C93" s="3" t="s">
        <v>391</v>
      </c>
      <c r="D93" s="2" t="s">
        <v>392</v>
      </c>
      <c r="E93" s="2" t="s">
        <v>348</v>
      </c>
      <c r="F93" s="2" t="n">
        <v>1</v>
      </c>
      <c r="G93" s="2" t="s">
        <v>20</v>
      </c>
      <c r="H93" s="2" t="s">
        <v>21</v>
      </c>
      <c r="I93" s="2" t="s">
        <v>22</v>
      </c>
      <c r="J93" s="2" t="s">
        <v>393</v>
      </c>
      <c r="K93" s="4" t="str">
        <f aca="false">HYPERLINK("components-cad/" &amp; J93)</f>
        <v>components-cad/SBR16S_300.FCStd</v>
      </c>
      <c r="L93" s="10" t="s">
        <v>24</v>
      </c>
      <c r="M93" s="1" t="str">
        <f aca="false">IFERROR(VLOOKUP(L93, suppliers!$A$1:$Z$1000, 2, 0), "Enter a valid uuid in the supplier_uuid column")</f>
        <v>Adolf Würth GmbH &amp; Co. KG</v>
      </c>
      <c r="N93" s="5" t="n">
        <v>0.1</v>
      </c>
      <c r="O93" s="2" t="s">
        <v>25</v>
      </c>
    </row>
    <row r="94" customFormat="false" ht="12.8" hidden="false" customHeight="false" outlineLevel="0" collapsed="false">
      <c r="A94" s="1" t="s">
        <v>394</v>
      </c>
      <c r="B94" s="10" t="s">
        <v>345</v>
      </c>
      <c r="C94" s="3" t="s">
        <v>395</v>
      </c>
      <c r="D94" s="2" t="s">
        <v>396</v>
      </c>
      <c r="E94" s="2" t="s">
        <v>348</v>
      </c>
      <c r="F94" s="2" t="n">
        <v>1</v>
      </c>
      <c r="G94" s="2" t="s">
        <v>20</v>
      </c>
      <c r="H94" s="2" t="s">
        <v>21</v>
      </c>
      <c r="I94" s="2" t="s">
        <v>22</v>
      </c>
      <c r="J94" s="2" t="s">
        <v>397</v>
      </c>
      <c r="K94" s="4" t="str">
        <f aca="false">HYPERLINK("components-cad/" &amp; J94)</f>
        <v>components-cad/SBR16S_400.FCStd</v>
      </c>
      <c r="L94" s="10" t="s">
        <v>24</v>
      </c>
      <c r="M94" s="1" t="str">
        <f aca="false">IFERROR(VLOOKUP(L94, suppliers!$A$1:$Z$1000, 2, 0), "Enter a valid uuid in the supplier_uuid column")</f>
        <v>Adolf Würth GmbH &amp; Co. KG</v>
      </c>
      <c r="N94" s="5" t="n">
        <v>0.1</v>
      </c>
      <c r="O94" s="2" t="s">
        <v>25</v>
      </c>
    </row>
    <row r="95" customFormat="false" ht="12.8" hidden="false" customHeight="false" outlineLevel="0" collapsed="false">
      <c r="A95" s="1" t="s">
        <v>398</v>
      </c>
      <c r="B95" s="10" t="s">
        <v>345</v>
      </c>
      <c r="C95" s="3" t="s">
        <v>399</v>
      </c>
      <c r="D95" s="2" t="s">
        <v>400</v>
      </c>
      <c r="E95" s="2" t="s">
        <v>348</v>
      </c>
      <c r="F95" s="2" t="n">
        <v>1</v>
      </c>
      <c r="G95" s="2" t="s">
        <v>20</v>
      </c>
      <c r="H95" s="2" t="s">
        <v>21</v>
      </c>
      <c r="I95" s="2" t="s">
        <v>22</v>
      </c>
      <c r="J95" s="2" t="s">
        <v>401</v>
      </c>
      <c r="K95" s="4" t="str">
        <f aca="false">HYPERLINK("components-cad/" &amp; J95)</f>
        <v>components-cad/SBR16S_500.FCStd</v>
      </c>
      <c r="L95" s="10" t="s">
        <v>24</v>
      </c>
      <c r="M95" s="1" t="str">
        <f aca="false">IFERROR(VLOOKUP(L95, suppliers!$A$1:$Z$1000, 2, 0), "Enter a valid uuid in the supplier_uuid column")</f>
        <v>Adolf Würth GmbH &amp; Co. KG</v>
      </c>
      <c r="N95" s="5" t="n">
        <v>0.1</v>
      </c>
      <c r="O95" s="2" t="s">
        <v>25</v>
      </c>
    </row>
    <row r="96" customFormat="false" ht="12.8" hidden="false" customHeight="false" outlineLevel="0" collapsed="false">
      <c r="A96" s="1" t="s">
        <v>402</v>
      </c>
      <c r="B96" s="10" t="s">
        <v>345</v>
      </c>
      <c r="C96" s="3" t="s">
        <v>403</v>
      </c>
      <c r="D96" s="2" t="s">
        <v>404</v>
      </c>
      <c r="E96" s="2" t="s">
        <v>348</v>
      </c>
      <c r="F96" s="2" t="n">
        <v>1</v>
      </c>
      <c r="G96" s="2" t="s">
        <v>20</v>
      </c>
      <c r="H96" s="2" t="s">
        <v>21</v>
      </c>
      <c r="I96" s="2" t="s">
        <v>22</v>
      </c>
      <c r="J96" s="2" t="s">
        <v>405</v>
      </c>
      <c r="K96" s="4" t="str">
        <f aca="false">HYPERLINK("components-cad/" &amp; J96)</f>
        <v>components-cad/SBR16S_600.FCStd</v>
      </c>
      <c r="L96" s="10" t="s">
        <v>24</v>
      </c>
      <c r="M96" s="1" t="str">
        <f aca="false">IFERROR(VLOOKUP(L96, suppliers!$A$1:$Z$1000, 2, 0), "Enter a valid uuid in the supplier_uuid column")</f>
        <v>Adolf Würth GmbH &amp; Co. KG</v>
      </c>
      <c r="N96" s="5" t="n">
        <v>0.1</v>
      </c>
      <c r="O96" s="2" t="s">
        <v>25</v>
      </c>
    </row>
    <row r="97" customFormat="false" ht="12.8" hidden="false" customHeight="false" outlineLevel="0" collapsed="false">
      <c r="A97" s="1" t="s">
        <v>406</v>
      </c>
      <c r="B97" s="10" t="s">
        <v>345</v>
      </c>
      <c r="C97" s="3" t="s">
        <v>407</v>
      </c>
      <c r="D97" s="2" t="s">
        <v>408</v>
      </c>
      <c r="E97" s="2" t="s">
        <v>348</v>
      </c>
      <c r="F97" s="2" t="n">
        <v>1</v>
      </c>
      <c r="G97" s="2" t="s">
        <v>20</v>
      </c>
      <c r="H97" s="2" t="s">
        <v>21</v>
      </c>
      <c r="I97" s="2" t="s">
        <v>22</v>
      </c>
      <c r="J97" s="2" t="s">
        <v>409</v>
      </c>
      <c r="K97" s="4" t="str">
        <f aca="false">HYPERLINK("components-cad/" &amp; J97)</f>
        <v>components-cad/SBR16S_700.FCStd</v>
      </c>
      <c r="L97" s="10" t="s">
        <v>24</v>
      </c>
      <c r="M97" s="1" t="str">
        <f aca="false">IFERROR(VLOOKUP(L97, suppliers!$A$1:$Z$1000, 2, 0), "Enter a valid uuid in the supplier_uuid column")</f>
        <v>Adolf Würth GmbH &amp; Co. KG</v>
      </c>
      <c r="N97" s="5" t="n">
        <v>0.1</v>
      </c>
      <c r="O97" s="2" t="s">
        <v>25</v>
      </c>
    </row>
    <row r="98" customFormat="false" ht="12.8" hidden="false" customHeight="false" outlineLevel="0" collapsed="false">
      <c r="A98" s="1" t="s">
        <v>410</v>
      </c>
      <c r="B98" s="10" t="s">
        <v>345</v>
      </c>
      <c r="C98" s="3" t="s">
        <v>411</v>
      </c>
      <c r="D98" s="2" t="s">
        <v>412</v>
      </c>
      <c r="E98" s="2" t="s">
        <v>348</v>
      </c>
      <c r="F98" s="2" t="n">
        <v>1</v>
      </c>
      <c r="G98" s="2" t="s">
        <v>20</v>
      </c>
      <c r="H98" s="2" t="s">
        <v>21</v>
      </c>
      <c r="I98" s="2" t="s">
        <v>22</v>
      </c>
      <c r="J98" s="2" t="s">
        <v>413</v>
      </c>
      <c r="K98" s="4" t="str">
        <f aca="false">HYPERLINK("components-cad/" &amp; J98)</f>
        <v>components-cad/SBR16S_800.FCStd</v>
      </c>
      <c r="L98" s="10" t="s">
        <v>24</v>
      </c>
      <c r="M98" s="1" t="str">
        <f aca="false">IFERROR(VLOOKUP(L98, suppliers!$A$1:$Z$1000, 2, 0), "Enter a valid uuid in the supplier_uuid column")</f>
        <v>Adolf Würth GmbH &amp; Co. KG</v>
      </c>
      <c r="N98" s="5" t="n">
        <v>0.1</v>
      </c>
      <c r="O98" s="2" t="s">
        <v>25</v>
      </c>
    </row>
    <row r="99" customFormat="false" ht="12.8" hidden="false" customHeight="false" outlineLevel="0" collapsed="false">
      <c r="A99" s="1" t="s">
        <v>414</v>
      </c>
      <c r="B99" s="10" t="s">
        <v>345</v>
      </c>
      <c r="C99" s="3" t="s">
        <v>415</v>
      </c>
      <c r="D99" s="2" t="s">
        <v>416</v>
      </c>
      <c r="E99" s="2" t="s">
        <v>348</v>
      </c>
      <c r="F99" s="2" t="n">
        <v>1</v>
      </c>
      <c r="G99" s="2" t="s">
        <v>20</v>
      </c>
      <c r="H99" s="2" t="s">
        <v>21</v>
      </c>
      <c r="I99" s="2" t="s">
        <v>22</v>
      </c>
      <c r="J99" s="2" t="s">
        <v>417</v>
      </c>
      <c r="K99" s="4" t="str">
        <f aca="false">HYPERLINK("components-cad/" &amp; J99)</f>
        <v>components-cad/SBR16S_1000.FCStd</v>
      </c>
      <c r="L99" s="10" t="s">
        <v>24</v>
      </c>
      <c r="M99" s="1" t="str">
        <f aca="false">IFERROR(VLOOKUP(L99, suppliers!$A$1:$Z$1000, 2, 0), "Enter a valid uuid in the supplier_uuid column")</f>
        <v>Adolf Würth GmbH &amp; Co. KG</v>
      </c>
      <c r="N99" s="5" t="n">
        <v>0.1</v>
      </c>
      <c r="O99" s="2" t="s">
        <v>25</v>
      </c>
    </row>
    <row r="100" customFormat="false" ht="12.8" hidden="false" customHeight="false" outlineLevel="0" collapsed="false">
      <c r="A100" s="1" t="s">
        <v>418</v>
      </c>
      <c r="B100" s="10" t="s">
        <v>345</v>
      </c>
      <c r="C100" s="3" t="s">
        <v>419</v>
      </c>
      <c r="D100" s="2" t="s">
        <v>420</v>
      </c>
      <c r="E100" s="2" t="s">
        <v>348</v>
      </c>
      <c r="F100" s="2" t="n">
        <v>1</v>
      </c>
      <c r="G100" s="2" t="s">
        <v>20</v>
      </c>
      <c r="H100" s="2" t="s">
        <v>21</v>
      </c>
      <c r="I100" s="2" t="s">
        <v>22</v>
      </c>
      <c r="J100" s="2" t="s">
        <v>421</v>
      </c>
      <c r="K100" s="4" t="str">
        <f aca="false">HYPERLINK("components-cad/" &amp; J100)</f>
        <v>components-cad/SBR16S_1200.FCStd</v>
      </c>
      <c r="L100" s="10" t="s">
        <v>24</v>
      </c>
      <c r="M100" s="1" t="str">
        <f aca="false">IFERROR(VLOOKUP(L100, suppliers!$A$1:$Z$1000, 2, 0), "Enter a valid uuid in the supplier_uuid column")</f>
        <v>Adolf Würth GmbH &amp; Co. KG</v>
      </c>
      <c r="N100" s="5" t="n">
        <v>0.1</v>
      </c>
      <c r="O100" s="2" t="s">
        <v>25</v>
      </c>
    </row>
    <row r="101" customFormat="false" ht="12.8" hidden="false" customHeight="false" outlineLevel="0" collapsed="false">
      <c r="A101" s="1" t="s">
        <v>422</v>
      </c>
      <c r="B101" s="10" t="s">
        <v>345</v>
      </c>
      <c r="C101" s="3" t="s">
        <v>423</v>
      </c>
      <c r="D101" s="2" t="s">
        <v>424</v>
      </c>
      <c r="E101" s="2" t="s">
        <v>348</v>
      </c>
      <c r="F101" s="2" t="n">
        <v>1</v>
      </c>
      <c r="G101" s="2" t="s">
        <v>20</v>
      </c>
      <c r="H101" s="2" t="s">
        <v>21</v>
      </c>
      <c r="I101" s="2" t="s">
        <v>22</v>
      </c>
      <c r="J101" s="2" t="s">
        <v>425</v>
      </c>
      <c r="K101" s="4" t="str">
        <f aca="false">HYPERLINK("components-cad/" &amp; J101)</f>
        <v>components-cad/SBR16S_1500.FCStd</v>
      </c>
      <c r="L101" s="10" t="s">
        <v>24</v>
      </c>
      <c r="M101" s="1" t="str">
        <f aca="false">IFERROR(VLOOKUP(L101, suppliers!$A$1:$Z$1000, 2, 0), "Enter a valid uuid in the supplier_uuid column")</f>
        <v>Adolf Würth GmbH &amp; Co. KG</v>
      </c>
      <c r="N101" s="5" t="n">
        <v>0.1</v>
      </c>
      <c r="O101" s="2" t="s">
        <v>25</v>
      </c>
    </row>
    <row r="102" customFormat="false" ht="12.8" hidden="false" customHeight="false" outlineLevel="0" collapsed="false">
      <c r="A102" s="1" t="s">
        <v>426</v>
      </c>
      <c r="B102" s="10" t="s">
        <v>345</v>
      </c>
      <c r="C102" s="3" t="s">
        <v>427</v>
      </c>
      <c r="D102" s="2" t="s">
        <v>428</v>
      </c>
      <c r="E102" s="2" t="s">
        <v>429</v>
      </c>
      <c r="F102" s="2" t="n">
        <v>1</v>
      </c>
      <c r="G102" s="2" t="s">
        <v>20</v>
      </c>
      <c r="H102" s="2" t="s">
        <v>21</v>
      </c>
      <c r="I102" s="2" t="s">
        <v>22</v>
      </c>
      <c r="J102" s="2" t="s">
        <v>430</v>
      </c>
      <c r="K102" s="4" t="str">
        <f aca="false">HYPERLINK("components-cad/" &amp; J102)</f>
        <v>components-cad/SBR12UU.FCStd</v>
      </c>
      <c r="L102" s="10" t="s">
        <v>24</v>
      </c>
      <c r="M102" s="1" t="str">
        <f aca="false">IFERROR(VLOOKUP(L102, suppliers!$A$1:$Z$1000, 2, 0), "Enter a valid uuid in the supplier_uuid column")</f>
        <v>Adolf Würth GmbH &amp; Co. KG</v>
      </c>
      <c r="N102" s="5" t="n">
        <v>0.1</v>
      </c>
      <c r="O102" s="2" t="s">
        <v>25</v>
      </c>
    </row>
    <row r="103" customFormat="false" ht="12.8" hidden="false" customHeight="false" outlineLevel="0" collapsed="false">
      <c r="A103" s="1" t="s">
        <v>431</v>
      </c>
      <c r="B103" s="10" t="s">
        <v>345</v>
      </c>
      <c r="C103" s="3" t="s">
        <v>432</v>
      </c>
      <c r="D103" s="2" t="s">
        <v>433</v>
      </c>
      <c r="E103" s="2" t="s">
        <v>429</v>
      </c>
      <c r="F103" s="2" t="n">
        <v>1</v>
      </c>
      <c r="G103" s="2" t="s">
        <v>20</v>
      </c>
      <c r="H103" s="2" t="s">
        <v>21</v>
      </c>
      <c r="I103" s="2" t="s">
        <v>22</v>
      </c>
      <c r="J103" s="2" t="s">
        <v>434</v>
      </c>
      <c r="K103" s="4" t="str">
        <f aca="false">HYPERLINK("components-cad/" &amp; J103)</f>
        <v>components-cad/SBR16UU.FCStd</v>
      </c>
      <c r="L103" s="10" t="s">
        <v>24</v>
      </c>
      <c r="M103" s="1" t="str">
        <f aca="false">IFERROR(VLOOKUP(L103, suppliers!$A$1:$Z$1000, 2, 0), "Enter a valid uuid in the supplier_uuid column")</f>
        <v>Adolf Würth GmbH &amp; Co. KG</v>
      </c>
      <c r="N103" s="5" t="n">
        <v>0.1</v>
      </c>
      <c r="O103" s="2" t="s">
        <v>25</v>
      </c>
    </row>
    <row r="104" customFormat="false" ht="12.8" hidden="false" customHeight="false" outlineLevel="0" collapsed="false">
      <c r="A104" s="1" t="s">
        <v>435</v>
      </c>
      <c r="B104" s="10" t="s">
        <v>345</v>
      </c>
      <c r="C104" s="3" t="s">
        <v>436</v>
      </c>
      <c r="D104" s="2" t="s">
        <v>437</v>
      </c>
      <c r="E104" s="2" t="s">
        <v>438</v>
      </c>
      <c r="F104" s="2" t="n">
        <v>1</v>
      </c>
      <c r="G104" s="2" t="s">
        <v>20</v>
      </c>
      <c r="H104" s="2" t="s">
        <v>21</v>
      </c>
      <c r="I104" s="2" t="s">
        <v>22</v>
      </c>
      <c r="J104" s="2" t="s">
        <v>439</v>
      </c>
      <c r="K104" s="4" t="str">
        <f aca="false">HYPERLINK("components-cad/" &amp; J104)</f>
        <v>components-cad/mk_2060.05_100.FCStd</v>
      </c>
      <c r="L104" s="10" t="s">
        <v>24</v>
      </c>
      <c r="M104" s="1" t="str">
        <f aca="false">IFERROR(VLOOKUP(L104, suppliers!$A$1:$Z$1000, 2, 0), "Enter a valid uuid in the supplier_uuid column")</f>
        <v>Adolf Würth GmbH &amp; Co. KG</v>
      </c>
      <c r="N104" s="5" t="n">
        <v>0.1</v>
      </c>
      <c r="O104" s="2" t="s">
        <v>25</v>
      </c>
    </row>
    <row r="105" customFormat="false" ht="12.8" hidden="false" customHeight="false" outlineLevel="0" collapsed="false">
      <c r="A105" s="1" t="s">
        <v>440</v>
      </c>
      <c r="B105" s="10" t="s">
        <v>345</v>
      </c>
      <c r="C105" s="3" t="s">
        <v>441</v>
      </c>
      <c r="D105" s="2" t="s">
        <v>442</v>
      </c>
      <c r="E105" s="2" t="s">
        <v>438</v>
      </c>
      <c r="F105" s="2" t="n">
        <v>1</v>
      </c>
      <c r="G105" s="2" t="s">
        <v>20</v>
      </c>
      <c r="H105" s="2" t="s">
        <v>21</v>
      </c>
      <c r="I105" s="2" t="s">
        <v>22</v>
      </c>
      <c r="J105" s="2" t="s">
        <v>443</v>
      </c>
      <c r="K105" s="4" t="str">
        <f aca="false">HYPERLINK("components-cad/" &amp; J105)</f>
        <v>components-cad/mk_2060.05_200.FCStd</v>
      </c>
      <c r="L105" s="10" t="s">
        <v>24</v>
      </c>
      <c r="M105" s="1" t="str">
        <f aca="false">IFERROR(VLOOKUP(L105, suppliers!$A$1:$Z$1000, 2, 0), "Enter a valid uuid in the supplier_uuid column")</f>
        <v>Adolf Würth GmbH &amp; Co. KG</v>
      </c>
      <c r="N105" s="5" t="n">
        <v>0.1</v>
      </c>
      <c r="O105" s="2" t="s">
        <v>25</v>
      </c>
    </row>
    <row r="106" customFormat="false" ht="12.8" hidden="false" customHeight="false" outlineLevel="0" collapsed="false">
      <c r="A106" s="1" t="s">
        <v>444</v>
      </c>
      <c r="B106" s="10" t="s">
        <v>345</v>
      </c>
      <c r="C106" s="3" t="s">
        <v>445</v>
      </c>
      <c r="D106" s="2" t="s">
        <v>446</v>
      </c>
      <c r="E106" s="2" t="s">
        <v>438</v>
      </c>
      <c r="F106" s="2" t="n">
        <v>1</v>
      </c>
      <c r="G106" s="2" t="s">
        <v>20</v>
      </c>
      <c r="H106" s="2" t="s">
        <v>21</v>
      </c>
      <c r="I106" s="2" t="s">
        <v>22</v>
      </c>
      <c r="J106" s="2" t="s">
        <v>447</v>
      </c>
      <c r="K106" s="4" t="str">
        <f aca="false">HYPERLINK("components-cad/" &amp; J106)</f>
        <v>components-cad/mk_2060.05_300.FCStd</v>
      </c>
      <c r="L106" s="10" t="s">
        <v>24</v>
      </c>
      <c r="M106" s="1" t="str">
        <f aca="false">IFERROR(VLOOKUP(L106, suppliers!$A$1:$Z$1000, 2, 0), "Enter a valid uuid in the supplier_uuid column")</f>
        <v>Adolf Würth GmbH &amp; Co. KG</v>
      </c>
      <c r="N106" s="5" t="n">
        <v>0.1</v>
      </c>
      <c r="O106" s="2" t="s">
        <v>25</v>
      </c>
    </row>
    <row r="107" customFormat="false" ht="12.8" hidden="false" customHeight="false" outlineLevel="0" collapsed="false">
      <c r="A107" s="1" t="s">
        <v>448</v>
      </c>
      <c r="B107" s="10" t="s">
        <v>345</v>
      </c>
      <c r="C107" s="3" t="s">
        <v>449</v>
      </c>
      <c r="D107" s="2" t="s">
        <v>450</v>
      </c>
      <c r="E107" s="2" t="s">
        <v>438</v>
      </c>
      <c r="F107" s="2" t="n">
        <v>1</v>
      </c>
      <c r="G107" s="2" t="s">
        <v>20</v>
      </c>
      <c r="H107" s="2" t="s">
        <v>21</v>
      </c>
      <c r="I107" s="2" t="s">
        <v>22</v>
      </c>
      <c r="J107" s="2" t="s">
        <v>451</v>
      </c>
      <c r="K107" s="4" t="str">
        <f aca="false">HYPERLINK("components-cad/" &amp; J107)</f>
        <v>components-cad/mk_2060.05_400.FCStd</v>
      </c>
      <c r="L107" s="10" t="s">
        <v>24</v>
      </c>
      <c r="M107" s="1" t="str">
        <f aca="false">IFERROR(VLOOKUP(L107, suppliers!$A$1:$Z$1000, 2, 0), "Enter a valid uuid in the supplier_uuid column")</f>
        <v>Adolf Würth GmbH &amp; Co. KG</v>
      </c>
      <c r="N107" s="5" t="n">
        <v>0.1</v>
      </c>
      <c r="O107" s="2" t="s">
        <v>25</v>
      </c>
    </row>
    <row r="108" customFormat="false" ht="12.8" hidden="false" customHeight="false" outlineLevel="0" collapsed="false">
      <c r="A108" s="1" t="s">
        <v>452</v>
      </c>
      <c r="B108" s="10" t="s">
        <v>345</v>
      </c>
      <c r="C108" s="3" t="s">
        <v>453</v>
      </c>
      <c r="D108" s="2" t="s">
        <v>454</v>
      </c>
      <c r="E108" s="2" t="s">
        <v>438</v>
      </c>
      <c r="F108" s="2" t="n">
        <v>1</v>
      </c>
      <c r="G108" s="2" t="s">
        <v>20</v>
      </c>
      <c r="H108" s="2" t="s">
        <v>21</v>
      </c>
      <c r="I108" s="2" t="s">
        <v>22</v>
      </c>
      <c r="J108" s="2" t="s">
        <v>455</v>
      </c>
      <c r="K108" s="4" t="str">
        <f aca="false">HYPERLINK("components-cad/" &amp; J108)</f>
        <v>components-cad/mk_2060.05_500.FCStd</v>
      </c>
      <c r="L108" s="10" t="s">
        <v>24</v>
      </c>
      <c r="M108" s="1" t="str">
        <f aca="false">IFERROR(VLOOKUP(L108, suppliers!$A$1:$Z$1000, 2, 0), "Enter a valid uuid in the supplier_uuid column")</f>
        <v>Adolf Würth GmbH &amp; Co. KG</v>
      </c>
      <c r="N108" s="5" t="n">
        <v>0.1</v>
      </c>
      <c r="O108" s="2" t="s">
        <v>25</v>
      </c>
    </row>
    <row r="109" customFormat="false" ht="12.8" hidden="false" customHeight="false" outlineLevel="0" collapsed="false">
      <c r="A109" s="1" t="s">
        <v>456</v>
      </c>
      <c r="B109" s="10" t="s">
        <v>345</v>
      </c>
      <c r="C109" s="3" t="s">
        <v>457</v>
      </c>
      <c r="D109" s="2" t="s">
        <v>458</v>
      </c>
      <c r="E109" s="2" t="s">
        <v>438</v>
      </c>
      <c r="F109" s="2" t="n">
        <v>1</v>
      </c>
      <c r="G109" s="2" t="s">
        <v>20</v>
      </c>
      <c r="H109" s="2" t="s">
        <v>21</v>
      </c>
      <c r="I109" s="2" t="s">
        <v>22</v>
      </c>
      <c r="J109" s="2" t="s">
        <v>459</v>
      </c>
      <c r="K109" s="4" t="str">
        <f aca="false">HYPERLINK("components-cad/" &amp; J109)</f>
        <v>components-cad/mk_2060.05_600.FCStd</v>
      </c>
      <c r="L109" s="10" t="s">
        <v>24</v>
      </c>
      <c r="M109" s="1" t="str">
        <f aca="false">IFERROR(VLOOKUP(L109, suppliers!$A$1:$Z$1000, 2, 0), "Enter a valid uuid in the supplier_uuid column")</f>
        <v>Adolf Würth GmbH &amp; Co. KG</v>
      </c>
      <c r="N109" s="5" t="n">
        <v>0.1</v>
      </c>
      <c r="O109" s="2" t="s">
        <v>25</v>
      </c>
    </row>
    <row r="110" customFormat="false" ht="12.8" hidden="false" customHeight="false" outlineLevel="0" collapsed="false">
      <c r="A110" s="1" t="s">
        <v>460</v>
      </c>
      <c r="B110" s="10" t="s">
        <v>345</v>
      </c>
      <c r="C110" s="3" t="s">
        <v>461</v>
      </c>
      <c r="D110" s="2" t="s">
        <v>462</v>
      </c>
      <c r="E110" s="2" t="s">
        <v>438</v>
      </c>
      <c r="F110" s="2" t="n">
        <v>1</v>
      </c>
      <c r="G110" s="2" t="s">
        <v>20</v>
      </c>
      <c r="H110" s="2" t="s">
        <v>21</v>
      </c>
      <c r="I110" s="2" t="s">
        <v>22</v>
      </c>
      <c r="J110" s="2" t="s">
        <v>463</v>
      </c>
      <c r="K110" s="4" t="str">
        <f aca="false">HYPERLINK("components-cad/" &amp; J110)</f>
        <v>components-cad/mk_2060.05_700.FCStd</v>
      </c>
      <c r="L110" s="10" t="s">
        <v>24</v>
      </c>
      <c r="M110" s="1" t="str">
        <f aca="false">IFERROR(VLOOKUP(L110, suppliers!$A$1:$Z$1000, 2, 0), "Enter a valid uuid in the supplier_uuid column")</f>
        <v>Adolf Würth GmbH &amp; Co. KG</v>
      </c>
      <c r="N110" s="5" t="n">
        <v>0.1</v>
      </c>
      <c r="O110" s="2" t="s">
        <v>25</v>
      </c>
    </row>
    <row r="111" customFormat="false" ht="12.8" hidden="false" customHeight="false" outlineLevel="0" collapsed="false">
      <c r="A111" s="1" t="s">
        <v>464</v>
      </c>
      <c r="B111" s="10" t="s">
        <v>345</v>
      </c>
      <c r="C111" s="3" t="s">
        <v>465</v>
      </c>
      <c r="D111" s="2" t="s">
        <v>466</v>
      </c>
      <c r="E111" s="2" t="s">
        <v>438</v>
      </c>
      <c r="F111" s="2" t="n">
        <v>1</v>
      </c>
      <c r="G111" s="2" t="s">
        <v>20</v>
      </c>
      <c r="H111" s="2" t="s">
        <v>21</v>
      </c>
      <c r="I111" s="2" t="s">
        <v>22</v>
      </c>
      <c r="J111" s="2" t="s">
        <v>467</v>
      </c>
      <c r="K111" s="4" t="str">
        <f aca="false">HYPERLINK("components-cad/" &amp; J111)</f>
        <v>components-cad/mk_2060.05_800.FCStd</v>
      </c>
      <c r="L111" s="10" t="s">
        <v>24</v>
      </c>
      <c r="M111" s="1" t="str">
        <f aca="false">IFERROR(VLOOKUP(L111, suppliers!$A$1:$Z$1000, 2, 0), "Enter a valid uuid in the supplier_uuid column")</f>
        <v>Adolf Würth GmbH &amp; Co. KG</v>
      </c>
      <c r="N111" s="5" t="n">
        <v>0.1</v>
      </c>
      <c r="O111" s="2" t="s">
        <v>25</v>
      </c>
    </row>
    <row r="112" customFormat="false" ht="12.8" hidden="false" customHeight="false" outlineLevel="0" collapsed="false">
      <c r="A112" s="1" t="s">
        <v>468</v>
      </c>
      <c r="B112" s="10" t="s">
        <v>345</v>
      </c>
      <c r="C112" s="3" t="s">
        <v>469</v>
      </c>
      <c r="D112" s="2" t="s">
        <v>470</v>
      </c>
      <c r="E112" s="2" t="s">
        <v>438</v>
      </c>
      <c r="F112" s="2" t="n">
        <v>1</v>
      </c>
      <c r="G112" s="2" t="s">
        <v>20</v>
      </c>
      <c r="H112" s="2" t="s">
        <v>21</v>
      </c>
      <c r="I112" s="2" t="s">
        <v>22</v>
      </c>
      <c r="J112" s="2" t="s">
        <v>471</v>
      </c>
      <c r="K112" s="4" t="str">
        <f aca="false">HYPERLINK("components-cad/" &amp; J112)</f>
        <v>components-cad/mk_2060.05_900.FCStd</v>
      </c>
      <c r="L112" s="10" t="s">
        <v>24</v>
      </c>
      <c r="M112" s="1" t="str">
        <f aca="false">IFERROR(VLOOKUP(L112, suppliers!$A$1:$Z$1000, 2, 0), "Enter a valid uuid in the supplier_uuid column")</f>
        <v>Adolf Würth GmbH &amp; Co. KG</v>
      </c>
      <c r="N112" s="5" t="n">
        <v>0.1</v>
      </c>
      <c r="O112" s="2" t="s">
        <v>25</v>
      </c>
    </row>
    <row r="113" customFormat="false" ht="12.8" hidden="false" customHeight="false" outlineLevel="0" collapsed="false">
      <c r="A113" s="1" t="s">
        <v>472</v>
      </c>
      <c r="B113" s="10" t="s">
        <v>345</v>
      </c>
      <c r="C113" s="3" t="s">
        <v>473</v>
      </c>
      <c r="D113" s="2" t="s">
        <v>474</v>
      </c>
      <c r="E113" s="2" t="s">
        <v>438</v>
      </c>
      <c r="F113" s="2" t="n">
        <v>1</v>
      </c>
      <c r="G113" s="2" t="s">
        <v>20</v>
      </c>
      <c r="H113" s="2" t="s">
        <v>21</v>
      </c>
      <c r="I113" s="2" t="s">
        <v>22</v>
      </c>
      <c r="J113" s="2" t="s">
        <v>475</v>
      </c>
      <c r="K113" s="4" t="str">
        <f aca="false">HYPERLINK("components-cad/" &amp; J113)</f>
        <v>components-cad/mk_2060.05_1000.FCStd</v>
      </c>
      <c r="L113" s="10" t="s">
        <v>24</v>
      </c>
      <c r="M113" s="1" t="str">
        <f aca="false">IFERROR(VLOOKUP(L113, suppliers!$A$1:$Z$1000, 2, 0), "Enter a valid uuid in the supplier_uuid column")</f>
        <v>Adolf Würth GmbH &amp; Co. KG</v>
      </c>
      <c r="N113" s="5" t="n">
        <v>0.1</v>
      </c>
      <c r="O113" s="2" t="s">
        <v>25</v>
      </c>
    </row>
    <row r="114" customFormat="false" ht="12.8" hidden="false" customHeight="false" outlineLevel="0" collapsed="false">
      <c r="A114" s="1" t="s">
        <v>476</v>
      </c>
      <c r="B114" s="10" t="s">
        <v>345</v>
      </c>
      <c r="C114" s="3" t="s">
        <v>477</v>
      </c>
      <c r="D114" s="2" t="s">
        <v>478</v>
      </c>
      <c r="E114" s="2" t="s">
        <v>438</v>
      </c>
      <c r="F114" s="2" t="n">
        <v>1</v>
      </c>
      <c r="G114" s="2" t="s">
        <v>20</v>
      </c>
      <c r="H114" s="2" t="s">
        <v>21</v>
      </c>
      <c r="I114" s="2" t="s">
        <v>22</v>
      </c>
      <c r="J114" s="2" t="s">
        <v>479</v>
      </c>
      <c r="K114" s="4" t="str">
        <f aca="false">HYPERLINK("components-cad/" &amp; J114)</f>
        <v>components-cad/mk_2060.05_1100.FCStd</v>
      </c>
      <c r="L114" s="10" t="s">
        <v>24</v>
      </c>
      <c r="M114" s="1" t="str">
        <f aca="false">IFERROR(VLOOKUP(L114, suppliers!$A$1:$Z$1000, 2, 0), "Enter a valid uuid in the supplier_uuid column")</f>
        <v>Adolf Würth GmbH &amp; Co. KG</v>
      </c>
      <c r="N114" s="5" t="n">
        <v>0.1</v>
      </c>
      <c r="O114" s="2" t="s">
        <v>25</v>
      </c>
    </row>
    <row r="115" customFormat="false" ht="12.8" hidden="false" customHeight="false" outlineLevel="0" collapsed="false">
      <c r="A115" s="1" t="s">
        <v>480</v>
      </c>
      <c r="B115" s="10" t="s">
        <v>345</v>
      </c>
      <c r="C115" s="3" t="s">
        <v>481</v>
      </c>
      <c r="D115" s="2" t="s">
        <v>482</v>
      </c>
      <c r="E115" s="2" t="s">
        <v>438</v>
      </c>
      <c r="F115" s="2" t="n">
        <v>1</v>
      </c>
      <c r="G115" s="2" t="s">
        <v>20</v>
      </c>
      <c r="H115" s="2" t="s">
        <v>21</v>
      </c>
      <c r="I115" s="2" t="s">
        <v>22</v>
      </c>
      <c r="J115" s="2" t="s">
        <v>483</v>
      </c>
      <c r="K115" s="4" t="str">
        <f aca="false">HYPERLINK("components-cad/" &amp; J115)</f>
        <v>components-cad/mk_2060.05_1200.FCStd</v>
      </c>
      <c r="L115" s="10" t="s">
        <v>24</v>
      </c>
      <c r="M115" s="1" t="str">
        <f aca="false">IFERROR(VLOOKUP(L115, suppliers!$A$1:$Z$1000, 2, 0), "Enter a valid uuid in the supplier_uuid column")</f>
        <v>Adolf Würth GmbH &amp; Co. KG</v>
      </c>
      <c r="N115" s="5" t="n">
        <v>0.1</v>
      </c>
      <c r="O115" s="2" t="s">
        <v>25</v>
      </c>
    </row>
    <row r="116" customFormat="false" ht="12.8" hidden="false" customHeight="false" outlineLevel="0" collapsed="false">
      <c r="A116" s="1" t="s">
        <v>484</v>
      </c>
      <c r="B116" s="10" t="s">
        <v>345</v>
      </c>
      <c r="C116" s="3" t="s">
        <v>485</v>
      </c>
      <c r="D116" s="2" t="s">
        <v>486</v>
      </c>
      <c r="E116" s="2" t="s">
        <v>438</v>
      </c>
      <c r="F116" s="2" t="n">
        <v>1</v>
      </c>
      <c r="G116" s="2" t="s">
        <v>20</v>
      </c>
      <c r="H116" s="2" t="s">
        <v>21</v>
      </c>
      <c r="I116" s="2" t="s">
        <v>22</v>
      </c>
      <c r="J116" s="2" t="s">
        <v>487</v>
      </c>
      <c r="K116" s="4" t="str">
        <f aca="false">HYPERLINK("components-cad/" &amp; J116)</f>
        <v>components-cad/mk_2060.05_1300.FCStd</v>
      </c>
      <c r="L116" s="10" t="s">
        <v>24</v>
      </c>
      <c r="M116" s="1" t="str">
        <f aca="false">IFERROR(VLOOKUP(L116, suppliers!$A$1:$Z$1000, 2, 0), "Enter a valid uuid in the supplier_uuid column")</f>
        <v>Adolf Würth GmbH &amp; Co. KG</v>
      </c>
      <c r="N116" s="5" t="n">
        <v>0.1</v>
      </c>
      <c r="O116" s="2" t="s">
        <v>25</v>
      </c>
    </row>
    <row r="117" customFormat="false" ht="12.8" hidden="false" customHeight="false" outlineLevel="0" collapsed="false">
      <c r="A117" s="1" t="s">
        <v>488</v>
      </c>
      <c r="B117" s="10" t="s">
        <v>345</v>
      </c>
      <c r="C117" s="3" t="s">
        <v>489</v>
      </c>
      <c r="D117" s="2" t="s">
        <v>490</v>
      </c>
      <c r="E117" s="2" t="s">
        <v>438</v>
      </c>
      <c r="F117" s="2" t="n">
        <v>1</v>
      </c>
      <c r="G117" s="2" t="s">
        <v>20</v>
      </c>
      <c r="H117" s="2" t="s">
        <v>21</v>
      </c>
      <c r="I117" s="2" t="s">
        <v>22</v>
      </c>
      <c r="J117" s="2" t="s">
        <v>491</v>
      </c>
      <c r="K117" s="4" t="str">
        <f aca="false">HYPERLINK("components-cad/" &amp; J117)</f>
        <v>components-cad/mk_2060.05_1400.FCStd</v>
      </c>
      <c r="L117" s="10" t="s">
        <v>24</v>
      </c>
      <c r="M117" s="1" t="str">
        <f aca="false">IFERROR(VLOOKUP(L117, suppliers!$A$1:$Z$1000, 2, 0), "Enter a valid uuid in the supplier_uuid column")</f>
        <v>Adolf Würth GmbH &amp; Co. KG</v>
      </c>
      <c r="N117" s="5" t="n">
        <v>0.1</v>
      </c>
      <c r="O117" s="2" t="s">
        <v>25</v>
      </c>
    </row>
    <row r="118" customFormat="false" ht="12.8" hidden="false" customHeight="false" outlineLevel="0" collapsed="false">
      <c r="A118" s="1" t="s">
        <v>492</v>
      </c>
      <c r="B118" s="10" t="s">
        <v>345</v>
      </c>
      <c r="C118" s="3" t="s">
        <v>493</v>
      </c>
      <c r="D118" s="2" t="s">
        <v>494</v>
      </c>
      <c r="E118" s="2" t="s">
        <v>438</v>
      </c>
      <c r="F118" s="2" t="n">
        <v>1</v>
      </c>
      <c r="G118" s="2" t="s">
        <v>20</v>
      </c>
      <c r="H118" s="2" t="s">
        <v>21</v>
      </c>
      <c r="I118" s="2" t="s">
        <v>22</v>
      </c>
      <c r="J118" s="2" t="s">
        <v>495</v>
      </c>
      <c r="K118" s="4" t="str">
        <f aca="false">HYPERLINK("components-cad/" &amp; J118)</f>
        <v>components-cad/mk_2060.05_1500.FCStd</v>
      </c>
      <c r="L118" s="10" t="s">
        <v>24</v>
      </c>
      <c r="M118" s="1" t="str">
        <f aca="false">IFERROR(VLOOKUP(L118, suppliers!$A$1:$Z$1000, 2, 0), "Enter a valid uuid in the supplier_uuid column")</f>
        <v>Adolf Würth GmbH &amp; Co. KG</v>
      </c>
      <c r="N118" s="5" t="n">
        <v>0.1</v>
      </c>
      <c r="O118" s="2" t="s">
        <v>25</v>
      </c>
    </row>
    <row r="119" customFormat="false" ht="12.8" hidden="false" customHeight="false" outlineLevel="0" collapsed="false">
      <c r="A119" s="1" t="s">
        <v>496</v>
      </c>
      <c r="B119" s="10" t="s">
        <v>345</v>
      </c>
      <c r="C119" s="3" t="s">
        <v>497</v>
      </c>
      <c r="D119" s="2" t="s">
        <v>498</v>
      </c>
      <c r="E119" s="2" t="s">
        <v>438</v>
      </c>
      <c r="F119" s="2" t="n">
        <v>1</v>
      </c>
      <c r="G119" s="2" t="s">
        <v>20</v>
      </c>
      <c r="H119" s="2" t="s">
        <v>21</v>
      </c>
      <c r="I119" s="2" t="s">
        <v>22</v>
      </c>
      <c r="J119" s="2" t="s">
        <v>499</v>
      </c>
      <c r="K119" s="4" t="str">
        <f aca="false">HYPERLINK("components-cad/" &amp; J119)</f>
        <v>components-cad/mk_2060.05_1600.FCStd</v>
      </c>
      <c r="L119" s="10" t="s">
        <v>24</v>
      </c>
      <c r="M119" s="1" t="str">
        <f aca="false">IFERROR(VLOOKUP(L119, suppliers!$A$1:$Z$1000, 2, 0), "Enter a valid uuid in the supplier_uuid column")</f>
        <v>Adolf Würth GmbH &amp; Co. KG</v>
      </c>
      <c r="N119" s="5" t="n">
        <v>0.1</v>
      </c>
      <c r="O119" s="2" t="s">
        <v>25</v>
      </c>
    </row>
    <row r="120" customFormat="false" ht="12.8" hidden="false" customHeight="false" outlineLevel="0" collapsed="false">
      <c r="A120" s="1" t="s">
        <v>500</v>
      </c>
      <c r="B120" s="10" t="s">
        <v>345</v>
      </c>
      <c r="C120" s="3" t="s">
        <v>501</v>
      </c>
      <c r="D120" s="2" t="s">
        <v>502</v>
      </c>
      <c r="E120" s="2" t="s">
        <v>438</v>
      </c>
      <c r="F120" s="2" t="n">
        <v>1</v>
      </c>
      <c r="G120" s="2" t="s">
        <v>20</v>
      </c>
      <c r="H120" s="2" t="s">
        <v>21</v>
      </c>
      <c r="I120" s="2" t="s">
        <v>22</v>
      </c>
      <c r="J120" s="2" t="s">
        <v>503</v>
      </c>
      <c r="K120" s="4" t="str">
        <f aca="false">HYPERLINK("components-cad/" &amp; J120)</f>
        <v>components-cad/mk_2060.05_1700.FCStd</v>
      </c>
      <c r="L120" s="10" t="s">
        <v>24</v>
      </c>
      <c r="M120" s="1" t="str">
        <f aca="false">IFERROR(VLOOKUP(L120, suppliers!$A$1:$Z$1000, 2, 0), "Enter a valid uuid in the supplier_uuid column")</f>
        <v>Adolf Würth GmbH &amp; Co. KG</v>
      </c>
      <c r="N120" s="5" t="n">
        <v>0.1</v>
      </c>
      <c r="O120" s="2" t="s">
        <v>25</v>
      </c>
    </row>
    <row r="121" customFormat="false" ht="12.8" hidden="false" customHeight="false" outlineLevel="0" collapsed="false">
      <c r="A121" s="1" t="s">
        <v>504</v>
      </c>
      <c r="B121" s="10" t="s">
        <v>345</v>
      </c>
      <c r="C121" s="3" t="s">
        <v>505</v>
      </c>
      <c r="D121" s="2" t="s">
        <v>506</v>
      </c>
      <c r="E121" s="2" t="s">
        <v>438</v>
      </c>
      <c r="F121" s="2" t="n">
        <v>1</v>
      </c>
      <c r="G121" s="2" t="s">
        <v>20</v>
      </c>
      <c r="H121" s="2" t="s">
        <v>21</v>
      </c>
      <c r="I121" s="2" t="s">
        <v>22</v>
      </c>
      <c r="J121" s="2" t="s">
        <v>507</v>
      </c>
      <c r="K121" s="4" t="str">
        <f aca="false">HYPERLINK("components-cad/" &amp; J121)</f>
        <v>components-cad/mk_2060.05_1800.FCStd</v>
      </c>
      <c r="L121" s="10" t="s">
        <v>24</v>
      </c>
      <c r="M121" s="1" t="str">
        <f aca="false">IFERROR(VLOOKUP(L121, suppliers!$A$1:$Z$1000, 2, 0), "Enter a valid uuid in the supplier_uuid column")</f>
        <v>Adolf Würth GmbH &amp; Co. KG</v>
      </c>
      <c r="N121" s="5" t="n">
        <v>0.1</v>
      </c>
      <c r="O121" s="2" t="s">
        <v>25</v>
      </c>
    </row>
    <row r="122" customFormat="false" ht="12.8" hidden="false" customHeight="false" outlineLevel="0" collapsed="false">
      <c r="A122" s="1" t="s">
        <v>508</v>
      </c>
      <c r="B122" s="10"/>
      <c r="F122" s="2" t="n">
        <v>1</v>
      </c>
      <c r="G122" s="2" t="s">
        <v>20</v>
      </c>
      <c r="H122" s="2" t="s">
        <v>21</v>
      </c>
      <c r="I122" s="2" t="s">
        <v>22</v>
      </c>
      <c r="L122" s="10"/>
      <c r="M122" s="1" t="str">
        <f aca="false">IFERROR(VLOOKUP(L122, suppliers!$A$1:$Z$1000, 2, 0), "Enter a valid uuid in the supplier_uuid column")</f>
        <v>Enter a valid uuid in the supplier_uuid column</v>
      </c>
      <c r="N122" s="5" t="n">
        <v>0.1</v>
      </c>
      <c r="O122" s="2" t="s">
        <v>25</v>
      </c>
    </row>
    <row r="123" customFormat="false" ht="12.8" hidden="false" customHeight="false" outlineLevel="0" collapsed="false">
      <c r="A123" s="1" t="s">
        <v>509</v>
      </c>
      <c r="B123" s="10"/>
      <c r="F123" s="2" t="n">
        <v>1</v>
      </c>
      <c r="G123" s="2" t="s">
        <v>20</v>
      </c>
      <c r="H123" s="2" t="s">
        <v>21</v>
      </c>
      <c r="I123" s="2" t="s">
        <v>22</v>
      </c>
      <c r="L123" s="10"/>
      <c r="M123" s="1" t="str">
        <f aca="false">IFERROR(VLOOKUP(L123, suppliers!$A$1:$Z$1000, 2, 0), "Enter a valid uuid in the supplier_uuid column")</f>
        <v>Enter a valid uuid in the supplier_uuid column</v>
      </c>
      <c r="N123" s="5" t="n">
        <v>0.1</v>
      </c>
      <c r="O123" s="2" t="s">
        <v>25</v>
      </c>
    </row>
    <row r="124" customFormat="false" ht="12.8" hidden="false" customHeight="false" outlineLevel="0" collapsed="false">
      <c r="A124" s="1" t="s">
        <v>510</v>
      </c>
      <c r="B124" s="10"/>
      <c r="F124" s="2" t="n">
        <v>1</v>
      </c>
      <c r="G124" s="2" t="s">
        <v>20</v>
      </c>
      <c r="H124" s="2" t="s">
        <v>21</v>
      </c>
      <c r="I124" s="2" t="s">
        <v>22</v>
      </c>
      <c r="L124" s="10"/>
      <c r="M124" s="1" t="str">
        <f aca="false">IFERROR(VLOOKUP(L124, suppliers!$A$1:$Z$1000, 2, 0), "Enter a valid uuid in the supplier_uuid column")</f>
        <v>Enter a valid uuid in the supplier_uuid column</v>
      </c>
      <c r="N124" s="5" t="n">
        <v>0.1</v>
      </c>
      <c r="O124" s="2" t="s">
        <v>25</v>
      </c>
    </row>
    <row r="125" customFormat="false" ht="12.8" hidden="false" customHeight="false" outlineLevel="0" collapsed="false">
      <c r="A125" s="1" t="s">
        <v>511</v>
      </c>
      <c r="B125" s="10"/>
      <c r="F125" s="2" t="n">
        <v>1</v>
      </c>
      <c r="G125" s="2" t="s">
        <v>20</v>
      </c>
      <c r="H125" s="2" t="s">
        <v>21</v>
      </c>
      <c r="I125" s="2" t="s">
        <v>22</v>
      </c>
      <c r="L125" s="10"/>
      <c r="M125" s="1" t="str">
        <f aca="false">IFERROR(VLOOKUP(L125, suppliers!$A$1:$Z$1000, 2, 0), "Enter a valid uuid in the supplier_uuid column")</f>
        <v>Enter a valid uuid in the supplier_uuid column</v>
      </c>
      <c r="N125" s="5" t="n">
        <v>0.1</v>
      </c>
      <c r="O125" s="2" t="s">
        <v>25</v>
      </c>
    </row>
    <row r="126" customFormat="false" ht="12.8" hidden="false" customHeight="false" outlineLevel="0" collapsed="false">
      <c r="A126" s="1" t="s">
        <v>512</v>
      </c>
      <c r="B126" s="10"/>
      <c r="F126" s="2" t="n">
        <v>1</v>
      </c>
      <c r="G126" s="2" t="s">
        <v>20</v>
      </c>
      <c r="H126" s="2" t="s">
        <v>21</v>
      </c>
      <c r="I126" s="2" t="s">
        <v>22</v>
      </c>
      <c r="L126" s="10"/>
      <c r="M126" s="1" t="str">
        <f aca="false">IFERROR(VLOOKUP(L126, suppliers!$A$1:$Z$1000, 2, 0), "Enter a valid uuid in the supplier_uuid column")</f>
        <v>Enter a valid uuid in the supplier_uuid column</v>
      </c>
      <c r="N126" s="5" t="n">
        <v>0.1</v>
      </c>
      <c r="O126" s="2" t="s">
        <v>25</v>
      </c>
    </row>
    <row r="127" customFormat="false" ht="12.8" hidden="false" customHeight="false" outlineLevel="0" collapsed="false">
      <c r="A127" s="1" t="s">
        <v>513</v>
      </c>
      <c r="B127" s="10"/>
      <c r="F127" s="2" t="n">
        <v>1</v>
      </c>
      <c r="G127" s="2" t="s">
        <v>20</v>
      </c>
      <c r="H127" s="2" t="s">
        <v>21</v>
      </c>
      <c r="I127" s="2" t="s">
        <v>22</v>
      </c>
      <c r="L127" s="10"/>
      <c r="M127" s="1" t="str">
        <f aca="false">IFERROR(VLOOKUP(L127, suppliers!$A$1:$Z$1000, 2, 0), "Enter a valid uuid in the supplier_uuid column")</f>
        <v>Enter a valid uuid in the supplier_uuid column</v>
      </c>
      <c r="N127" s="5" t="n">
        <v>0.1</v>
      </c>
      <c r="O127" s="2" t="s">
        <v>25</v>
      </c>
    </row>
    <row r="128" customFormat="false" ht="12.8" hidden="false" customHeight="false" outlineLevel="0" collapsed="false">
      <c r="A128" s="1" t="s">
        <v>514</v>
      </c>
      <c r="B128" s="10"/>
      <c r="F128" s="2" t="n">
        <v>1</v>
      </c>
      <c r="G128" s="2" t="s">
        <v>20</v>
      </c>
      <c r="H128" s="2" t="s">
        <v>21</v>
      </c>
      <c r="I128" s="2" t="s">
        <v>22</v>
      </c>
      <c r="L128" s="10"/>
      <c r="M128" s="1" t="str">
        <f aca="false">IFERROR(VLOOKUP(L128, suppliers!$A$1:$Z$1000, 2, 0), "Enter a valid uuid in the supplier_uuid column")</f>
        <v>Enter a valid uuid in the supplier_uuid column</v>
      </c>
      <c r="N128" s="5" t="n">
        <v>0.1</v>
      </c>
      <c r="O128" s="2" t="s">
        <v>25</v>
      </c>
    </row>
    <row r="129" customFormat="false" ht="12.8" hidden="false" customHeight="false" outlineLevel="0" collapsed="false">
      <c r="A129" s="1" t="s">
        <v>515</v>
      </c>
      <c r="B129" s="10"/>
      <c r="F129" s="2" t="n">
        <v>1</v>
      </c>
      <c r="G129" s="2" t="s">
        <v>20</v>
      </c>
      <c r="H129" s="2" t="s">
        <v>21</v>
      </c>
      <c r="I129" s="2" t="s">
        <v>22</v>
      </c>
      <c r="L129" s="10"/>
      <c r="M129" s="1" t="str">
        <f aca="false">IFERROR(VLOOKUP(L129, suppliers!$A$1:$Z$1000, 2, 0), "Enter a valid uuid in the supplier_uuid column")</f>
        <v>Enter a valid uuid in the supplier_uuid column</v>
      </c>
      <c r="N129" s="5" t="n">
        <v>0.1</v>
      </c>
      <c r="O129" s="2" t="s">
        <v>25</v>
      </c>
    </row>
    <row r="130" customFormat="false" ht="12.8" hidden="false" customHeight="false" outlineLevel="0" collapsed="false">
      <c r="A130" s="1" t="s">
        <v>516</v>
      </c>
      <c r="B130" s="10"/>
      <c r="F130" s="2" t="n">
        <v>1</v>
      </c>
      <c r="G130" s="2" t="s">
        <v>20</v>
      </c>
      <c r="H130" s="2" t="s">
        <v>21</v>
      </c>
      <c r="I130" s="2" t="s">
        <v>22</v>
      </c>
      <c r="L130" s="10"/>
      <c r="M130" s="1" t="str">
        <f aca="false">IFERROR(VLOOKUP(L130, suppliers!$A$1:$Z$1000, 2, 0), "Enter a valid uuid in the supplier_uuid column")</f>
        <v>Enter a valid uuid in the supplier_uuid column</v>
      </c>
      <c r="N130" s="5" t="n">
        <v>0.1</v>
      </c>
      <c r="O130" s="2" t="s">
        <v>25</v>
      </c>
    </row>
    <row r="131" customFormat="false" ht="12.8" hidden="false" customHeight="false" outlineLevel="0" collapsed="false">
      <c r="A131" s="1" t="s">
        <v>517</v>
      </c>
      <c r="B131" s="10"/>
      <c r="F131" s="2" t="n">
        <v>1</v>
      </c>
      <c r="G131" s="2" t="s">
        <v>20</v>
      </c>
      <c r="H131" s="2" t="s">
        <v>21</v>
      </c>
      <c r="I131" s="2" t="s">
        <v>22</v>
      </c>
      <c r="L131" s="10"/>
      <c r="M131" s="1" t="str">
        <f aca="false">IFERROR(VLOOKUP(L131, suppliers!$A$1:$Z$1000, 2, 0), "Enter a valid uuid in the supplier_uuid column")</f>
        <v>Enter a valid uuid in the supplier_uuid column</v>
      </c>
      <c r="N131" s="5" t="n">
        <v>0.1</v>
      </c>
      <c r="O131" s="2" t="s">
        <v>25</v>
      </c>
    </row>
    <row r="132" customFormat="false" ht="12.8" hidden="false" customHeight="false" outlineLevel="0" collapsed="false">
      <c r="A132" s="1" t="s">
        <v>518</v>
      </c>
      <c r="B132" s="10"/>
      <c r="F132" s="2" t="n">
        <v>1</v>
      </c>
      <c r="G132" s="2" t="s">
        <v>20</v>
      </c>
      <c r="H132" s="2" t="s">
        <v>21</v>
      </c>
      <c r="I132" s="2" t="s">
        <v>22</v>
      </c>
      <c r="L132" s="10"/>
      <c r="M132" s="1" t="str">
        <f aca="false">IFERROR(VLOOKUP(L132, suppliers!$A$1:$Z$1000, 2, 0), "Enter a valid uuid in the supplier_uuid column")</f>
        <v>Enter a valid uuid in the supplier_uuid column</v>
      </c>
      <c r="N132" s="5" t="n">
        <v>0.1</v>
      </c>
      <c r="O132" s="2" t="s">
        <v>25</v>
      </c>
    </row>
    <row r="133" customFormat="false" ht="12.8" hidden="false" customHeight="false" outlineLevel="0" collapsed="false">
      <c r="A133" s="1" t="s">
        <v>519</v>
      </c>
      <c r="B133" s="10"/>
      <c r="F133" s="2" t="n">
        <v>1</v>
      </c>
      <c r="G133" s="2" t="s">
        <v>20</v>
      </c>
      <c r="H133" s="2" t="s">
        <v>21</v>
      </c>
      <c r="I133" s="2" t="s">
        <v>22</v>
      </c>
      <c r="L133" s="10"/>
      <c r="M133" s="1" t="str">
        <f aca="false">IFERROR(VLOOKUP(L133, suppliers!$A$1:$Z$1000, 2, 0), "Enter a valid uuid in the supplier_uuid column")</f>
        <v>Enter a valid uuid in the supplier_uuid column</v>
      </c>
      <c r="N133" s="5" t="n">
        <v>0.1</v>
      </c>
      <c r="O133" s="2" t="s">
        <v>25</v>
      </c>
    </row>
    <row r="134" customFormat="false" ht="12.8" hidden="false" customHeight="false" outlineLevel="0" collapsed="false">
      <c r="A134" s="1" t="s">
        <v>520</v>
      </c>
      <c r="B134" s="10"/>
      <c r="F134" s="2" t="n">
        <v>1</v>
      </c>
      <c r="G134" s="2" t="s">
        <v>20</v>
      </c>
      <c r="H134" s="2" t="s">
        <v>21</v>
      </c>
      <c r="I134" s="2" t="s">
        <v>22</v>
      </c>
      <c r="L134" s="10"/>
      <c r="M134" s="1" t="str">
        <f aca="false">IFERROR(VLOOKUP(L134, suppliers!$A$1:$Z$1000, 2, 0), "Enter a valid uuid in the supplier_uuid column")</f>
        <v>Enter a valid uuid in the supplier_uuid column</v>
      </c>
      <c r="N134" s="5" t="n">
        <v>0.1</v>
      </c>
      <c r="O134" s="2" t="s">
        <v>25</v>
      </c>
    </row>
    <row r="135" customFormat="false" ht="12.8" hidden="false" customHeight="false" outlineLevel="0" collapsed="false">
      <c r="A135" s="1" t="s">
        <v>521</v>
      </c>
      <c r="B135" s="10"/>
      <c r="F135" s="2" t="n">
        <v>1</v>
      </c>
      <c r="G135" s="2" t="s">
        <v>20</v>
      </c>
      <c r="H135" s="2" t="s">
        <v>21</v>
      </c>
      <c r="I135" s="2" t="s">
        <v>22</v>
      </c>
      <c r="L135" s="10"/>
      <c r="M135" s="1" t="str">
        <f aca="false">IFERROR(VLOOKUP(L135, suppliers!$A$1:$Z$1000, 2, 0), "Enter a valid uuid in the supplier_uuid column")</f>
        <v>Enter a valid uuid in the supplier_uuid column</v>
      </c>
      <c r="N135" s="5" t="n">
        <v>0.1</v>
      </c>
      <c r="O135" s="2" t="s">
        <v>25</v>
      </c>
    </row>
    <row r="136" customFormat="false" ht="12.8" hidden="false" customHeight="false" outlineLevel="0" collapsed="false">
      <c r="A136" s="1" t="s">
        <v>522</v>
      </c>
      <c r="B136" s="10"/>
      <c r="F136" s="2" t="n">
        <v>1</v>
      </c>
      <c r="G136" s="2" t="s">
        <v>20</v>
      </c>
      <c r="H136" s="2" t="s">
        <v>21</v>
      </c>
      <c r="I136" s="2" t="s">
        <v>22</v>
      </c>
      <c r="L136" s="10"/>
      <c r="M136" s="1" t="str">
        <f aca="false">IFERROR(VLOOKUP(L136, suppliers!$A$1:$Z$1000, 2, 0), "Enter a valid uuid in the supplier_uuid column")</f>
        <v>Enter a valid uuid in the supplier_uuid column</v>
      </c>
      <c r="N136" s="5" t="n">
        <v>0.1</v>
      </c>
      <c r="O136" s="2" t="s">
        <v>25</v>
      </c>
    </row>
    <row r="137" customFormat="false" ht="12.8" hidden="false" customHeight="false" outlineLevel="0" collapsed="false">
      <c r="A137" s="1" t="s">
        <v>523</v>
      </c>
      <c r="B137" s="10"/>
      <c r="F137" s="2" t="n">
        <v>1</v>
      </c>
      <c r="G137" s="2" t="s">
        <v>20</v>
      </c>
      <c r="H137" s="2" t="s">
        <v>21</v>
      </c>
      <c r="I137" s="2" t="s">
        <v>22</v>
      </c>
      <c r="L137" s="10"/>
      <c r="M137" s="1" t="str">
        <f aca="false">IFERROR(VLOOKUP(L137, suppliers!$A$1:$Z$1000, 2, 0), "Enter a valid uuid in the supplier_uuid column")</f>
        <v>Enter a valid uuid in the supplier_uuid column</v>
      </c>
      <c r="N137" s="5" t="n">
        <v>0.1</v>
      </c>
      <c r="O137" s="2" t="s">
        <v>25</v>
      </c>
    </row>
    <row r="138" customFormat="false" ht="12.8" hidden="false" customHeight="false" outlineLevel="0" collapsed="false">
      <c r="A138" s="1" t="s">
        <v>524</v>
      </c>
      <c r="B138" s="10"/>
      <c r="F138" s="2" t="n">
        <v>1</v>
      </c>
      <c r="G138" s="2" t="s">
        <v>20</v>
      </c>
      <c r="H138" s="2" t="s">
        <v>21</v>
      </c>
      <c r="I138" s="2" t="s">
        <v>22</v>
      </c>
      <c r="L138" s="10"/>
      <c r="M138" s="1" t="str">
        <f aca="false">IFERROR(VLOOKUP(L138, suppliers!$A$1:$Z$1000, 2, 0), "Enter a valid uuid in the supplier_uuid column")</f>
        <v>Enter a valid uuid in the supplier_uuid column</v>
      </c>
      <c r="N138" s="5" t="n">
        <v>0.1</v>
      </c>
      <c r="O138" s="2" t="s">
        <v>25</v>
      </c>
    </row>
    <row r="139" customFormat="false" ht="12.8" hidden="false" customHeight="false" outlineLevel="0" collapsed="false">
      <c r="A139" s="1" t="s">
        <v>525</v>
      </c>
      <c r="B139" s="10"/>
      <c r="F139" s="2" t="n">
        <v>1</v>
      </c>
      <c r="G139" s="2" t="s">
        <v>20</v>
      </c>
      <c r="H139" s="2" t="s">
        <v>21</v>
      </c>
      <c r="I139" s="2" t="s">
        <v>22</v>
      </c>
      <c r="L139" s="10"/>
      <c r="M139" s="1" t="str">
        <f aca="false">IFERROR(VLOOKUP(L139, suppliers!$A$1:$Z$1000, 2, 0), "Enter a valid uuid in the supplier_uuid column")</f>
        <v>Enter a valid uuid in the supplier_uuid column</v>
      </c>
      <c r="N139" s="5" t="n">
        <v>0.1</v>
      </c>
      <c r="O139" s="2" t="s">
        <v>25</v>
      </c>
    </row>
    <row r="140" customFormat="false" ht="12.8" hidden="false" customHeight="false" outlineLevel="0" collapsed="false">
      <c r="A140" s="1" t="s">
        <v>526</v>
      </c>
      <c r="B140" s="10"/>
      <c r="F140" s="2" t="n">
        <v>1</v>
      </c>
      <c r="G140" s="2" t="s">
        <v>20</v>
      </c>
      <c r="H140" s="2" t="s">
        <v>21</v>
      </c>
      <c r="I140" s="2" t="s">
        <v>22</v>
      </c>
      <c r="L140" s="10"/>
      <c r="M140" s="1" t="str">
        <f aca="false">IFERROR(VLOOKUP(L140, suppliers!$A$1:$Z$1000, 2, 0), "Enter a valid uuid in the supplier_uuid column")</f>
        <v>Enter a valid uuid in the supplier_uuid column</v>
      </c>
      <c r="N140" s="5" t="n">
        <v>0.1</v>
      </c>
      <c r="O140" s="2" t="s">
        <v>25</v>
      </c>
    </row>
    <row r="141" customFormat="false" ht="12.8" hidden="false" customHeight="false" outlineLevel="0" collapsed="false">
      <c r="A141" s="1" t="s">
        <v>527</v>
      </c>
      <c r="B141" s="10"/>
      <c r="F141" s="2" t="n">
        <v>1</v>
      </c>
      <c r="G141" s="2" t="s">
        <v>20</v>
      </c>
      <c r="H141" s="2" t="s">
        <v>21</v>
      </c>
      <c r="I141" s="2" t="s">
        <v>22</v>
      </c>
      <c r="L141" s="10"/>
      <c r="M141" s="1" t="str">
        <f aca="false">IFERROR(VLOOKUP(L141, suppliers!$A$1:$Z$1000, 2, 0), "Enter a valid uuid in the supplier_uuid column")</f>
        <v>Enter a valid uuid in the supplier_uuid column</v>
      </c>
      <c r="N141" s="5" t="n">
        <v>0.1</v>
      </c>
      <c r="O141" s="2" t="s">
        <v>25</v>
      </c>
    </row>
    <row r="142" customFormat="false" ht="12.8" hidden="false" customHeight="false" outlineLevel="0" collapsed="false">
      <c r="A142" s="1" t="s">
        <v>528</v>
      </c>
      <c r="B142" s="10"/>
      <c r="F142" s="2" t="n">
        <v>1</v>
      </c>
      <c r="G142" s="2" t="s">
        <v>20</v>
      </c>
      <c r="H142" s="2" t="s">
        <v>21</v>
      </c>
      <c r="I142" s="2" t="s">
        <v>22</v>
      </c>
      <c r="L142" s="10"/>
      <c r="M142" s="1" t="str">
        <f aca="false">IFERROR(VLOOKUP(L142, suppliers!$A$1:$Z$1000, 2, 0), "Enter a valid uuid in the supplier_uuid column")</f>
        <v>Enter a valid uuid in the supplier_uuid column</v>
      </c>
      <c r="N142" s="5" t="n">
        <v>0.1</v>
      </c>
      <c r="O142" s="2" t="s">
        <v>25</v>
      </c>
    </row>
    <row r="143" customFormat="false" ht="12.8" hidden="false" customHeight="false" outlineLevel="0" collapsed="false">
      <c r="A143" s="1" t="s">
        <v>529</v>
      </c>
      <c r="B143" s="10"/>
      <c r="F143" s="2" t="n">
        <v>1</v>
      </c>
      <c r="G143" s="2" t="s">
        <v>20</v>
      </c>
      <c r="H143" s="2" t="s">
        <v>21</v>
      </c>
      <c r="I143" s="2" t="s">
        <v>22</v>
      </c>
      <c r="L143" s="10"/>
      <c r="M143" s="1" t="str">
        <f aca="false">IFERROR(VLOOKUP(L143, suppliers!$A$1:$Z$1000, 2, 0), "Enter a valid uuid in the supplier_uuid column")</f>
        <v>Enter a valid uuid in the supplier_uuid column</v>
      </c>
      <c r="N143" s="5" t="n">
        <v>0.1</v>
      </c>
      <c r="O143" s="2" t="s">
        <v>25</v>
      </c>
    </row>
    <row r="144" customFormat="false" ht="12.8" hidden="false" customHeight="false" outlineLevel="0" collapsed="false">
      <c r="A144" s="1" t="s">
        <v>530</v>
      </c>
      <c r="B144" s="10"/>
      <c r="F144" s="2" t="n">
        <v>1</v>
      </c>
      <c r="G144" s="2" t="s">
        <v>20</v>
      </c>
      <c r="H144" s="2" t="s">
        <v>21</v>
      </c>
      <c r="I144" s="2" t="s">
        <v>22</v>
      </c>
      <c r="L144" s="10"/>
      <c r="M144" s="1" t="str">
        <f aca="false">IFERROR(VLOOKUP(L144, suppliers!$A$1:$Z$1000, 2, 0), "Enter a valid uuid in the supplier_uuid column")</f>
        <v>Enter a valid uuid in the supplier_uuid column</v>
      </c>
      <c r="N144" s="5" t="n">
        <v>0.1</v>
      </c>
      <c r="O144" s="2" t="s">
        <v>25</v>
      </c>
    </row>
    <row r="145" customFormat="false" ht="12.8" hidden="false" customHeight="false" outlineLevel="0" collapsed="false">
      <c r="A145" s="1" t="s">
        <v>531</v>
      </c>
      <c r="B145" s="10"/>
      <c r="F145" s="2" t="n">
        <v>1</v>
      </c>
      <c r="G145" s="2" t="s">
        <v>20</v>
      </c>
      <c r="H145" s="2" t="s">
        <v>21</v>
      </c>
      <c r="I145" s="2" t="s">
        <v>22</v>
      </c>
      <c r="L145" s="10"/>
      <c r="M145" s="1" t="str">
        <f aca="false">IFERROR(VLOOKUP(L145, suppliers!$A$1:$Z$1000, 2, 0), "Enter a valid uuid in the supplier_uuid column")</f>
        <v>Enter a valid uuid in the supplier_uuid column</v>
      </c>
      <c r="N145" s="5" t="n">
        <v>0.1</v>
      </c>
      <c r="O145" s="2" t="s">
        <v>25</v>
      </c>
    </row>
    <row r="146" customFormat="false" ht="12.8" hidden="false" customHeight="false" outlineLevel="0" collapsed="false">
      <c r="A146" s="1" t="s">
        <v>532</v>
      </c>
      <c r="B146" s="10"/>
      <c r="F146" s="2" t="n">
        <v>1</v>
      </c>
      <c r="G146" s="2" t="s">
        <v>20</v>
      </c>
      <c r="H146" s="2" t="s">
        <v>21</v>
      </c>
      <c r="I146" s="2" t="s">
        <v>22</v>
      </c>
      <c r="L146" s="10"/>
      <c r="M146" s="1" t="str">
        <f aca="false">IFERROR(VLOOKUP(L146, suppliers!$A$1:$Z$1000, 2, 0), "Enter a valid uuid in the supplier_uuid column")</f>
        <v>Enter a valid uuid in the supplier_uuid column</v>
      </c>
      <c r="N146" s="5" t="n">
        <v>0.1</v>
      </c>
      <c r="O146" s="2" t="s">
        <v>25</v>
      </c>
    </row>
    <row r="147" customFormat="false" ht="12.8" hidden="false" customHeight="false" outlineLevel="0" collapsed="false">
      <c r="A147" s="1" t="s">
        <v>533</v>
      </c>
      <c r="B147" s="10"/>
      <c r="F147" s="2" t="n">
        <v>1</v>
      </c>
      <c r="G147" s="2" t="s">
        <v>20</v>
      </c>
      <c r="H147" s="2" t="s">
        <v>21</v>
      </c>
      <c r="I147" s="2" t="s">
        <v>22</v>
      </c>
      <c r="L147" s="10"/>
      <c r="M147" s="1" t="str">
        <f aca="false">IFERROR(VLOOKUP(L147, suppliers!$A$1:$Z$1000, 2, 0), "Enter a valid uuid in the supplier_uuid column")</f>
        <v>Enter a valid uuid in the supplier_uuid column</v>
      </c>
      <c r="N147" s="5" t="n">
        <v>0.1</v>
      </c>
      <c r="O147" s="2" t="s">
        <v>25</v>
      </c>
    </row>
    <row r="148" customFormat="false" ht="12.8" hidden="false" customHeight="false" outlineLevel="0" collapsed="false">
      <c r="A148" s="1" t="s">
        <v>534</v>
      </c>
      <c r="B148" s="10"/>
      <c r="F148" s="2" t="n">
        <v>1</v>
      </c>
      <c r="G148" s="2" t="s">
        <v>20</v>
      </c>
      <c r="H148" s="2" t="s">
        <v>21</v>
      </c>
      <c r="I148" s="2" t="s">
        <v>22</v>
      </c>
      <c r="L148" s="10"/>
      <c r="M148" s="1" t="str">
        <f aca="false">IFERROR(VLOOKUP(L148, suppliers!$A$1:$Z$1000, 2, 0), "Enter a valid uuid in the supplier_uuid column")</f>
        <v>Enter a valid uuid in the supplier_uuid column</v>
      </c>
      <c r="N148" s="5" t="n">
        <v>0.1</v>
      </c>
      <c r="O148" s="2" t="s">
        <v>25</v>
      </c>
    </row>
    <row r="149" customFormat="false" ht="12.8" hidden="false" customHeight="false" outlineLevel="0" collapsed="false">
      <c r="A149" s="1" t="s">
        <v>535</v>
      </c>
      <c r="B149" s="10"/>
      <c r="F149" s="2" t="n">
        <v>1</v>
      </c>
      <c r="G149" s="2" t="s">
        <v>20</v>
      </c>
      <c r="H149" s="2" t="s">
        <v>21</v>
      </c>
      <c r="I149" s="2" t="s">
        <v>22</v>
      </c>
      <c r="L149" s="10"/>
      <c r="M149" s="1" t="str">
        <f aca="false">IFERROR(VLOOKUP(L149, suppliers!$A$1:$Z$1000, 2, 0), "Enter a valid uuid in the supplier_uuid column")</f>
        <v>Enter a valid uuid in the supplier_uuid column</v>
      </c>
      <c r="N149" s="5" t="n">
        <v>0.1</v>
      </c>
      <c r="O149" s="2" t="s">
        <v>25</v>
      </c>
    </row>
    <row r="150" customFormat="false" ht="12.8" hidden="false" customHeight="false" outlineLevel="0" collapsed="false">
      <c r="A150" s="1" t="s">
        <v>536</v>
      </c>
      <c r="B150" s="10"/>
      <c r="F150" s="2" t="n">
        <v>1</v>
      </c>
      <c r="G150" s="2" t="s">
        <v>20</v>
      </c>
      <c r="H150" s="2" t="s">
        <v>21</v>
      </c>
      <c r="I150" s="2" t="s">
        <v>22</v>
      </c>
      <c r="L150" s="10"/>
      <c r="M150" s="1" t="str">
        <f aca="false">IFERROR(VLOOKUP(L150, suppliers!$A$1:$Z$1000, 2, 0), "Enter a valid uuid in the supplier_uuid column")</f>
        <v>Enter a valid uuid in the supplier_uuid column</v>
      </c>
      <c r="N150" s="5" t="n">
        <v>0.1</v>
      </c>
      <c r="O150" s="2" t="s">
        <v>25</v>
      </c>
    </row>
    <row r="151" customFormat="false" ht="12.8" hidden="false" customHeight="false" outlineLevel="0" collapsed="false">
      <c r="A151" s="1" t="s">
        <v>537</v>
      </c>
      <c r="B151" s="10"/>
      <c r="F151" s="2" t="n">
        <v>1</v>
      </c>
      <c r="G151" s="2" t="s">
        <v>20</v>
      </c>
      <c r="H151" s="2" t="s">
        <v>21</v>
      </c>
      <c r="I151" s="2" t="s">
        <v>22</v>
      </c>
      <c r="L151" s="10"/>
      <c r="M151" s="1" t="str">
        <f aca="false">IFERROR(VLOOKUP(L151, suppliers!$A$1:$Z$1000, 2, 0), "Enter a valid uuid in the supplier_uuid column")</f>
        <v>Enter a valid uuid in the supplier_uuid column</v>
      </c>
      <c r="N151" s="5" t="n">
        <v>0.1</v>
      </c>
      <c r="O151" s="2" t="s">
        <v>25</v>
      </c>
    </row>
    <row r="152" customFormat="false" ht="12.8" hidden="false" customHeight="false" outlineLevel="0" collapsed="false">
      <c r="A152" s="1" t="s">
        <v>538</v>
      </c>
      <c r="B152" s="10"/>
      <c r="F152" s="2" t="n">
        <v>1</v>
      </c>
      <c r="G152" s="2" t="s">
        <v>20</v>
      </c>
      <c r="H152" s="2" t="s">
        <v>21</v>
      </c>
      <c r="I152" s="2" t="s">
        <v>22</v>
      </c>
      <c r="L152" s="10"/>
      <c r="M152" s="1" t="str">
        <f aca="false">IFERROR(VLOOKUP(L152, suppliers!$A$1:$Z$1000, 2, 0), "Enter a valid uuid in the supplier_uuid column")</f>
        <v>Enter a valid uuid in the supplier_uuid column</v>
      </c>
      <c r="N152" s="5" t="n">
        <v>0.1</v>
      </c>
      <c r="O152" s="2" t="s">
        <v>25</v>
      </c>
    </row>
    <row r="153" customFormat="false" ht="12.8" hidden="false" customHeight="false" outlineLevel="0" collapsed="false">
      <c r="A153" s="1" t="s">
        <v>539</v>
      </c>
      <c r="B153" s="10"/>
      <c r="F153" s="2" t="n">
        <v>1</v>
      </c>
      <c r="G153" s="2" t="s">
        <v>20</v>
      </c>
      <c r="H153" s="2" t="s">
        <v>21</v>
      </c>
      <c r="I153" s="2" t="s">
        <v>22</v>
      </c>
      <c r="L153" s="10"/>
      <c r="M153" s="1" t="str">
        <f aca="false">IFERROR(VLOOKUP(L153, suppliers!$A$1:$Z$1000, 2, 0), "Enter a valid uuid in the supplier_uuid column")</f>
        <v>Enter a valid uuid in the supplier_uuid column</v>
      </c>
      <c r="N153" s="5" t="n">
        <v>0.1</v>
      </c>
      <c r="O153" s="2" t="s">
        <v>25</v>
      </c>
    </row>
    <row r="154" customFormat="false" ht="12.8" hidden="false" customHeight="false" outlineLevel="0" collapsed="false">
      <c r="A154" s="1" t="s">
        <v>540</v>
      </c>
      <c r="B154" s="10"/>
      <c r="F154" s="2" t="n">
        <v>1</v>
      </c>
      <c r="G154" s="2" t="s">
        <v>20</v>
      </c>
      <c r="H154" s="2" t="s">
        <v>21</v>
      </c>
      <c r="I154" s="2" t="s">
        <v>22</v>
      </c>
      <c r="L154" s="10"/>
      <c r="M154" s="1" t="str">
        <f aca="false">IFERROR(VLOOKUP(L154, suppliers!$A$1:$Z$1000, 2, 0), "Enter a valid uuid in the supplier_uuid column")</f>
        <v>Enter a valid uuid in the supplier_uuid column</v>
      </c>
      <c r="N154" s="5" t="n">
        <v>0.1</v>
      </c>
      <c r="O154" s="2" t="s">
        <v>25</v>
      </c>
    </row>
    <row r="155" customFormat="false" ht="12.8" hidden="false" customHeight="false" outlineLevel="0" collapsed="false">
      <c r="A155" s="1" t="s">
        <v>541</v>
      </c>
      <c r="B155" s="10"/>
      <c r="F155" s="2" t="n">
        <v>1</v>
      </c>
      <c r="G155" s="2" t="s">
        <v>20</v>
      </c>
      <c r="H155" s="2" t="s">
        <v>21</v>
      </c>
      <c r="I155" s="2" t="s">
        <v>22</v>
      </c>
      <c r="L155" s="10"/>
      <c r="M155" s="1" t="str">
        <f aca="false">IFERROR(VLOOKUP(L155, suppliers!$A$1:$Z$1000, 2, 0), "Enter a valid uuid in the supplier_uuid column")</f>
        <v>Enter a valid uuid in the supplier_uuid column</v>
      </c>
      <c r="N155" s="5" t="n">
        <v>0.1</v>
      </c>
      <c r="O155" s="2" t="s">
        <v>25</v>
      </c>
    </row>
    <row r="156" customFormat="false" ht="12.8" hidden="false" customHeight="false" outlineLevel="0" collapsed="false">
      <c r="A156" s="1" t="s">
        <v>542</v>
      </c>
      <c r="B156" s="10"/>
      <c r="F156" s="2" t="n">
        <v>1</v>
      </c>
      <c r="G156" s="2" t="s">
        <v>20</v>
      </c>
      <c r="H156" s="2" t="s">
        <v>21</v>
      </c>
      <c r="I156" s="2" t="s">
        <v>22</v>
      </c>
      <c r="L156" s="10"/>
      <c r="M156" s="1" t="str">
        <f aca="false">IFERROR(VLOOKUP(L156, suppliers!$A$1:$Z$1000, 2, 0), "Enter a valid uuid in the supplier_uuid column")</f>
        <v>Enter a valid uuid in the supplier_uuid column</v>
      </c>
      <c r="N156" s="5" t="n">
        <v>0.1</v>
      </c>
      <c r="O156" s="2" t="s">
        <v>25</v>
      </c>
    </row>
    <row r="157" customFormat="false" ht="12.8" hidden="false" customHeight="false" outlineLevel="0" collapsed="false">
      <c r="A157" s="1" t="s">
        <v>543</v>
      </c>
      <c r="B157" s="10"/>
      <c r="F157" s="2" t="n">
        <v>1</v>
      </c>
      <c r="G157" s="2" t="s">
        <v>20</v>
      </c>
      <c r="H157" s="2" t="s">
        <v>21</v>
      </c>
      <c r="I157" s="2" t="s">
        <v>22</v>
      </c>
      <c r="L157" s="10"/>
      <c r="M157" s="1" t="str">
        <f aca="false">IFERROR(VLOOKUP(L157, suppliers!$A$1:$Z$1000, 2, 0), "Enter a valid uuid in the supplier_uuid column")</f>
        <v>Enter a valid uuid in the supplier_uuid column</v>
      </c>
      <c r="N157" s="5" t="n">
        <v>0.1</v>
      </c>
      <c r="O157" s="2" t="s">
        <v>25</v>
      </c>
    </row>
    <row r="158" customFormat="false" ht="12.8" hidden="false" customHeight="false" outlineLevel="0" collapsed="false">
      <c r="A158" s="1" t="s">
        <v>544</v>
      </c>
      <c r="B158" s="10"/>
      <c r="F158" s="2" t="n">
        <v>1</v>
      </c>
      <c r="G158" s="2" t="s">
        <v>20</v>
      </c>
      <c r="H158" s="2" t="s">
        <v>21</v>
      </c>
      <c r="I158" s="2" t="s">
        <v>22</v>
      </c>
      <c r="L158" s="10"/>
      <c r="M158" s="1" t="str">
        <f aca="false">IFERROR(VLOOKUP(L158, suppliers!$A$1:$Z$1000, 2, 0), "Enter a valid uuid in the supplier_uuid column")</f>
        <v>Enter a valid uuid in the supplier_uuid column</v>
      </c>
      <c r="N158" s="5" t="n">
        <v>0.1</v>
      </c>
      <c r="O158" s="2" t="s">
        <v>25</v>
      </c>
    </row>
    <row r="159" customFormat="false" ht="12.8" hidden="false" customHeight="false" outlineLevel="0" collapsed="false">
      <c r="A159" s="1" t="s">
        <v>545</v>
      </c>
      <c r="B159" s="10"/>
      <c r="F159" s="2" t="n">
        <v>1</v>
      </c>
      <c r="G159" s="2" t="s">
        <v>20</v>
      </c>
      <c r="H159" s="2" t="s">
        <v>21</v>
      </c>
      <c r="I159" s="2" t="s">
        <v>22</v>
      </c>
      <c r="L159" s="10"/>
      <c r="M159" s="1" t="str">
        <f aca="false">IFERROR(VLOOKUP(L159, suppliers!$A$1:$Z$1000, 2, 0), "Enter a valid uuid in the supplier_uuid column")</f>
        <v>Enter a valid uuid in the supplier_uuid column</v>
      </c>
      <c r="N159" s="5" t="n">
        <v>0.1</v>
      </c>
      <c r="O159" s="2" t="s">
        <v>25</v>
      </c>
    </row>
    <row r="160" customFormat="false" ht="12.8" hidden="false" customHeight="false" outlineLevel="0" collapsed="false">
      <c r="A160" s="1" t="s">
        <v>546</v>
      </c>
      <c r="B160" s="10"/>
      <c r="F160" s="2" t="n">
        <v>1</v>
      </c>
      <c r="G160" s="2" t="s">
        <v>20</v>
      </c>
      <c r="H160" s="2" t="s">
        <v>21</v>
      </c>
      <c r="I160" s="2" t="s">
        <v>22</v>
      </c>
      <c r="L160" s="10"/>
      <c r="M160" s="1" t="str">
        <f aca="false">IFERROR(VLOOKUP(L160, suppliers!$A$1:$Z$1000, 2, 0), "Enter a valid uuid in the supplier_uuid column")</f>
        <v>Enter a valid uuid in the supplier_uuid column</v>
      </c>
      <c r="N160" s="5" t="n">
        <v>0.1</v>
      </c>
      <c r="O160" s="2" t="s">
        <v>25</v>
      </c>
    </row>
    <row r="161" customFormat="false" ht="12.8" hidden="false" customHeight="false" outlineLevel="0" collapsed="false">
      <c r="A161" s="1" t="s">
        <v>547</v>
      </c>
      <c r="B161" s="10"/>
      <c r="F161" s="2" t="n">
        <v>1</v>
      </c>
      <c r="G161" s="2" t="s">
        <v>20</v>
      </c>
      <c r="H161" s="2" t="s">
        <v>21</v>
      </c>
      <c r="I161" s="2" t="s">
        <v>22</v>
      </c>
      <c r="L161" s="10"/>
      <c r="M161" s="1" t="str">
        <f aca="false">IFERROR(VLOOKUP(L161, suppliers!$A$1:$Z$1000, 2, 0), "Enter a valid uuid in the supplier_uuid column")</f>
        <v>Enter a valid uuid in the supplier_uuid column</v>
      </c>
      <c r="N161" s="5" t="n">
        <v>0.1</v>
      </c>
      <c r="O161" s="2" t="s">
        <v>25</v>
      </c>
    </row>
    <row r="162" customFormat="false" ht="12.8" hidden="false" customHeight="false" outlineLevel="0" collapsed="false">
      <c r="A162" s="1" t="s">
        <v>548</v>
      </c>
      <c r="B162" s="10"/>
      <c r="F162" s="2" t="n">
        <v>1</v>
      </c>
      <c r="G162" s="2" t="s">
        <v>20</v>
      </c>
      <c r="H162" s="2" t="s">
        <v>21</v>
      </c>
      <c r="I162" s="2" t="s">
        <v>22</v>
      </c>
      <c r="L162" s="10"/>
      <c r="M162" s="1" t="str">
        <f aca="false">IFERROR(VLOOKUP(L162, suppliers!$A$1:$Z$1000, 2, 0), "Enter a valid uuid in the supplier_uuid column")</f>
        <v>Enter a valid uuid in the supplier_uuid column</v>
      </c>
      <c r="N162" s="5" t="n">
        <v>0.1</v>
      </c>
      <c r="O162" s="2" t="s">
        <v>25</v>
      </c>
    </row>
    <row r="163" customFormat="false" ht="12.8" hidden="false" customHeight="false" outlineLevel="0" collapsed="false">
      <c r="A163" s="1" t="s">
        <v>549</v>
      </c>
      <c r="B163" s="10"/>
      <c r="F163" s="2" t="n">
        <v>1</v>
      </c>
      <c r="G163" s="2" t="s">
        <v>20</v>
      </c>
      <c r="H163" s="2" t="s">
        <v>21</v>
      </c>
      <c r="I163" s="2" t="s">
        <v>22</v>
      </c>
      <c r="L163" s="10"/>
      <c r="M163" s="1" t="str">
        <f aca="false">IFERROR(VLOOKUP(L163, suppliers!$A$1:$Z$1000, 2, 0), "Enter a valid uuid in the supplier_uuid column")</f>
        <v>Enter a valid uuid in the supplier_uuid column</v>
      </c>
      <c r="N163" s="5" t="n">
        <v>0.1</v>
      </c>
      <c r="O163" s="2" t="s">
        <v>25</v>
      </c>
    </row>
    <row r="164" customFormat="false" ht="12.8" hidden="false" customHeight="false" outlineLevel="0" collapsed="false">
      <c r="A164" s="1" t="s">
        <v>550</v>
      </c>
      <c r="B164" s="10"/>
      <c r="F164" s="2" t="n">
        <v>1</v>
      </c>
      <c r="G164" s="2" t="s">
        <v>20</v>
      </c>
      <c r="H164" s="2" t="s">
        <v>21</v>
      </c>
      <c r="I164" s="2" t="s">
        <v>22</v>
      </c>
      <c r="L164" s="10"/>
      <c r="M164" s="1" t="str">
        <f aca="false">IFERROR(VLOOKUP(L164, suppliers!$A$1:$Z$1000, 2, 0), "Enter a valid uuid in the supplier_uuid column")</f>
        <v>Enter a valid uuid in the supplier_uuid column</v>
      </c>
      <c r="N164" s="5" t="n">
        <v>0.1</v>
      </c>
      <c r="O164" s="2" t="s">
        <v>25</v>
      </c>
    </row>
    <row r="165" customFormat="false" ht="12.8" hidden="false" customHeight="false" outlineLevel="0" collapsed="false">
      <c r="A165" s="1" t="s">
        <v>551</v>
      </c>
      <c r="B165" s="10"/>
      <c r="F165" s="2" t="n">
        <v>1</v>
      </c>
      <c r="G165" s="2" t="s">
        <v>20</v>
      </c>
      <c r="H165" s="2" t="s">
        <v>21</v>
      </c>
      <c r="I165" s="2" t="s">
        <v>22</v>
      </c>
      <c r="L165" s="10"/>
      <c r="M165" s="1" t="str">
        <f aca="false">IFERROR(VLOOKUP(L165, suppliers!$A$1:$Z$1000, 2, 0), "Enter a valid uuid in the supplier_uuid column")</f>
        <v>Enter a valid uuid in the supplier_uuid column</v>
      </c>
      <c r="N165" s="5" t="n">
        <v>0.1</v>
      </c>
      <c r="O165" s="2" t="s">
        <v>25</v>
      </c>
    </row>
    <row r="166" customFormat="false" ht="12.8" hidden="false" customHeight="false" outlineLevel="0" collapsed="false">
      <c r="A166" s="1" t="s">
        <v>552</v>
      </c>
      <c r="B166" s="10"/>
      <c r="F166" s="2" t="n">
        <v>1</v>
      </c>
      <c r="G166" s="2" t="s">
        <v>20</v>
      </c>
      <c r="H166" s="2" t="s">
        <v>21</v>
      </c>
      <c r="I166" s="2" t="s">
        <v>22</v>
      </c>
      <c r="L166" s="10"/>
      <c r="M166" s="1" t="str">
        <f aca="false">IFERROR(VLOOKUP(L166, suppliers!$A$1:$Z$1000, 2, 0), "Enter a valid uuid in the supplier_uuid column")</f>
        <v>Enter a valid uuid in the supplier_uuid column</v>
      </c>
      <c r="N166" s="5" t="n">
        <v>0.1</v>
      </c>
      <c r="O166" s="2" t="s">
        <v>25</v>
      </c>
    </row>
    <row r="167" customFormat="false" ht="12.8" hidden="false" customHeight="false" outlineLevel="0" collapsed="false">
      <c r="A167" s="1" t="s">
        <v>553</v>
      </c>
      <c r="B167" s="10"/>
      <c r="F167" s="2" t="n">
        <v>1</v>
      </c>
      <c r="G167" s="2" t="s">
        <v>20</v>
      </c>
      <c r="H167" s="2" t="s">
        <v>21</v>
      </c>
      <c r="I167" s="2" t="s">
        <v>22</v>
      </c>
      <c r="L167" s="10"/>
      <c r="M167" s="1" t="str">
        <f aca="false">IFERROR(VLOOKUP(L167, suppliers!$A$1:$Z$1000, 2, 0), "Enter a valid uuid in the supplier_uuid column")</f>
        <v>Enter a valid uuid in the supplier_uuid column</v>
      </c>
      <c r="N167" s="5" t="n">
        <v>0.1</v>
      </c>
      <c r="O167" s="2" t="s">
        <v>25</v>
      </c>
    </row>
    <row r="168" customFormat="false" ht="12.8" hidden="false" customHeight="false" outlineLevel="0" collapsed="false">
      <c r="A168" s="1" t="s">
        <v>554</v>
      </c>
      <c r="B168" s="10"/>
      <c r="F168" s="2" t="n">
        <v>1</v>
      </c>
      <c r="G168" s="2" t="s">
        <v>20</v>
      </c>
      <c r="H168" s="2" t="s">
        <v>21</v>
      </c>
      <c r="I168" s="2" t="s">
        <v>22</v>
      </c>
      <c r="L168" s="10"/>
      <c r="M168" s="1" t="str">
        <f aca="false">IFERROR(VLOOKUP(L168, suppliers!$A$1:$Z$1000, 2, 0), "Enter a valid uuid in the supplier_uuid column")</f>
        <v>Enter a valid uuid in the supplier_uuid column</v>
      </c>
      <c r="N168" s="5" t="n">
        <v>0.1</v>
      </c>
      <c r="O168" s="2" t="s">
        <v>25</v>
      </c>
    </row>
    <row r="169" customFormat="false" ht="12.8" hidden="false" customHeight="false" outlineLevel="0" collapsed="false">
      <c r="A169" s="1" t="s">
        <v>555</v>
      </c>
      <c r="B169" s="10"/>
      <c r="F169" s="2" t="n">
        <v>1</v>
      </c>
      <c r="G169" s="2" t="s">
        <v>20</v>
      </c>
      <c r="H169" s="2" t="s">
        <v>21</v>
      </c>
      <c r="I169" s="2" t="s">
        <v>22</v>
      </c>
      <c r="L169" s="10"/>
      <c r="M169" s="1" t="str">
        <f aca="false">IFERROR(VLOOKUP(L169, suppliers!$A$1:$Z$1000, 2, 0), "Enter a valid uuid in the supplier_uuid column")</f>
        <v>Enter a valid uuid in the supplier_uuid column</v>
      </c>
      <c r="N169" s="5" t="n">
        <v>0.1</v>
      </c>
      <c r="O169" s="2" t="s">
        <v>25</v>
      </c>
    </row>
    <row r="170" customFormat="false" ht="12.8" hidden="false" customHeight="false" outlineLevel="0" collapsed="false">
      <c r="A170" s="1" t="s">
        <v>556</v>
      </c>
      <c r="B170" s="10"/>
      <c r="F170" s="2" t="n">
        <v>1</v>
      </c>
      <c r="G170" s="2" t="s">
        <v>20</v>
      </c>
      <c r="H170" s="2" t="s">
        <v>21</v>
      </c>
      <c r="I170" s="2" t="s">
        <v>22</v>
      </c>
      <c r="L170" s="10"/>
      <c r="M170" s="1" t="str">
        <f aca="false">IFERROR(VLOOKUP(L170, suppliers!$A$1:$Z$1000, 2, 0), "Enter a valid uuid in the supplier_uuid column")</f>
        <v>Enter a valid uuid in the supplier_uuid column</v>
      </c>
      <c r="N170" s="5" t="n">
        <v>0.1</v>
      </c>
      <c r="O170" s="2" t="s">
        <v>25</v>
      </c>
    </row>
    <row r="171" customFormat="false" ht="12.8" hidden="false" customHeight="false" outlineLevel="0" collapsed="false">
      <c r="A171" s="1" t="s">
        <v>557</v>
      </c>
      <c r="B171" s="10"/>
      <c r="F171" s="2" t="n">
        <v>1</v>
      </c>
      <c r="G171" s="2" t="s">
        <v>20</v>
      </c>
      <c r="H171" s="2" t="s">
        <v>21</v>
      </c>
      <c r="I171" s="2" t="s">
        <v>22</v>
      </c>
      <c r="L171" s="10"/>
      <c r="M171" s="1" t="str">
        <f aca="false">IFERROR(VLOOKUP(L171, suppliers!$A$1:$Z$1000, 2, 0), "Enter a valid uuid in the supplier_uuid column")</f>
        <v>Enter a valid uuid in the supplier_uuid column</v>
      </c>
      <c r="N171" s="5" t="n">
        <v>0.1</v>
      </c>
      <c r="O171" s="2" t="s">
        <v>25</v>
      </c>
    </row>
    <row r="172" customFormat="false" ht="12.8" hidden="false" customHeight="false" outlineLevel="0" collapsed="false">
      <c r="A172" s="1" t="s">
        <v>558</v>
      </c>
      <c r="B172" s="10"/>
      <c r="F172" s="2" t="n">
        <v>1</v>
      </c>
      <c r="G172" s="2" t="s">
        <v>20</v>
      </c>
      <c r="H172" s="2" t="s">
        <v>21</v>
      </c>
      <c r="I172" s="2" t="s">
        <v>22</v>
      </c>
      <c r="L172" s="10"/>
      <c r="M172" s="1" t="str">
        <f aca="false">IFERROR(VLOOKUP(L172, suppliers!$A$1:$Z$1000, 2, 0), "Enter a valid uuid in the supplier_uuid column")</f>
        <v>Enter a valid uuid in the supplier_uuid column</v>
      </c>
      <c r="N172" s="5" t="n">
        <v>0.1</v>
      </c>
      <c r="O172" s="2" t="s">
        <v>25</v>
      </c>
    </row>
    <row r="173" customFormat="false" ht="12.8" hidden="false" customHeight="false" outlineLevel="0" collapsed="false">
      <c r="A173" s="1" t="s">
        <v>559</v>
      </c>
      <c r="B173" s="10"/>
      <c r="F173" s="2" t="n">
        <v>1</v>
      </c>
      <c r="G173" s="2" t="s">
        <v>20</v>
      </c>
      <c r="H173" s="2" t="s">
        <v>21</v>
      </c>
      <c r="I173" s="2" t="s">
        <v>22</v>
      </c>
      <c r="L173" s="10"/>
      <c r="M173" s="1" t="str">
        <f aca="false">IFERROR(VLOOKUP(L173, suppliers!$A$1:$Z$1000, 2, 0), "Enter a valid uuid in the supplier_uuid column")</f>
        <v>Enter a valid uuid in the supplier_uuid column</v>
      </c>
      <c r="N173" s="5" t="n">
        <v>0.1</v>
      </c>
      <c r="O173" s="2" t="s">
        <v>25</v>
      </c>
    </row>
    <row r="174" customFormat="false" ht="12.8" hidden="false" customHeight="false" outlineLevel="0" collapsed="false">
      <c r="A174" s="1" t="s">
        <v>560</v>
      </c>
      <c r="B174" s="10"/>
      <c r="F174" s="2" t="n">
        <v>1</v>
      </c>
      <c r="G174" s="2" t="s">
        <v>20</v>
      </c>
      <c r="H174" s="2" t="s">
        <v>21</v>
      </c>
      <c r="I174" s="2" t="s">
        <v>22</v>
      </c>
      <c r="L174" s="10"/>
      <c r="M174" s="1" t="str">
        <f aca="false">IFERROR(VLOOKUP(L174, suppliers!$A$1:$Z$1000, 2, 0), "Enter a valid uuid in the supplier_uuid column")</f>
        <v>Enter a valid uuid in the supplier_uuid column</v>
      </c>
      <c r="N174" s="5" t="n">
        <v>0.1</v>
      </c>
      <c r="O174" s="2" t="s">
        <v>25</v>
      </c>
    </row>
    <row r="175" customFormat="false" ht="12.8" hidden="false" customHeight="false" outlineLevel="0" collapsed="false">
      <c r="A175" s="1" t="s">
        <v>561</v>
      </c>
      <c r="B175" s="10"/>
      <c r="F175" s="2" t="n">
        <v>1</v>
      </c>
      <c r="G175" s="2" t="s">
        <v>20</v>
      </c>
      <c r="H175" s="2" t="s">
        <v>21</v>
      </c>
      <c r="I175" s="2" t="s">
        <v>22</v>
      </c>
      <c r="L175" s="10"/>
      <c r="M175" s="1" t="str">
        <f aca="false">IFERROR(VLOOKUP(L175, suppliers!$A$1:$Z$1000, 2, 0), "Enter a valid uuid in the supplier_uuid column")</f>
        <v>Enter a valid uuid in the supplier_uuid column</v>
      </c>
      <c r="N175" s="5" t="n">
        <v>0.1</v>
      </c>
      <c r="O175" s="2" t="s">
        <v>25</v>
      </c>
    </row>
    <row r="176" customFormat="false" ht="12.8" hidden="false" customHeight="false" outlineLevel="0" collapsed="false">
      <c r="A176" s="1" t="s">
        <v>562</v>
      </c>
      <c r="B176" s="10"/>
      <c r="F176" s="2" t="n">
        <v>1</v>
      </c>
      <c r="G176" s="2" t="s">
        <v>20</v>
      </c>
      <c r="H176" s="2" t="s">
        <v>21</v>
      </c>
      <c r="I176" s="2" t="s">
        <v>22</v>
      </c>
      <c r="L176" s="10"/>
      <c r="M176" s="1" t="str">
        <f aca="false">IFERROR(VLOOKUP(L176, suppliers!$A$1:$Z$1000, 2, 0), "Enter a valid uuid in the supplier_uuid column")</f>
        <v>Enter a valid uuid in the supplier_uuid column</v>
      </c>
      <c r="N176" s="5" t="n">
        <v>0.1</v>
      </c>
      <c r="O176" s="2" t="s">
        <v>25</v>
      </c>
    </row>
    <row r="177" customFormat="false" ht="12.8" hidden="false" customHeight="false" outlineLevel="0" collapsed="false">
      <c r="A177" s="1" t="s">
        <v>563</v>
      </c>
      <c r="B177" s="10"/>
      <c r="F177" s="2" t="n">
        <v>1</v>
      </c>
      <c r="G177" s="2" t="s">
        <v>20</v>
      </c>
      <c r="H177" s="2" t="s">
        <v>21</v>
      </c>
      <c r="I177" s="2" t="s">
        <v>22</v>
      </c>
      <c r="L177" s="10"/>
      <c r="M177" s="1" t="str">
        <f aca="false">IFERROR(VLOOKUP(L177, suppliers!$A$1:$Z$1000, 2, 0), "Enter a valid uuid in the supplier_uuid column")</f>
        <v>Enter a valid uuid in the supplier_uuid column</v>
      </c>
      <c r="N177" s="5" t="n">
        <v>0.1</v>
      </c>
      <c r="O177" s="2" t="s">
        <v>25</v>
      </c>
    </row>
    <row r="178" customFormat="false" ht="12.8" hidden="false" customHeight="false" outlineLevel="0" collapsed="false">
      <c r="A178" s="1" t="s">
        <v>564</v>
      </c>
      <c r="B178" s="10"/>
      <c r="F178" s="2" t="n">
        <v>1</v>
      </c>
      <c r="G178" s="2" t="s">
        <v>20</v>
      </c>
      <c r="H178" s="2" t="s">
        <v>21</v>
      </c>
      <c r="I178" s="2" t="s">
        <v>22</v>
      </c>
      <c r="L178" s="10"/>
      <c r="M178" s="1" t="str">
        <f aca="false">IFERROR(VLOOKUP(L178, suppliers!$A$1:$Z$1000, 2, 0), "Enter a valid uuid in the supplier_uuid column")</f>
        <v>Enter a valid uuid in the supplier_uuid column</v>
      </c>
      <c r="N178" s="5" t="n">
        <v>0.1</v>
      </c>
      <c r="O178" s="2" t="s">
        <v>25</v>
      </c>
    </row>
    <row r="179" customFormat="false" ht="12.8" hidden="false" customHeight="false" outlineLevel="0" collapsed="false">
      <c r="A179" s="1" t="s">
        <v>565</v>
      </c>
      <c r="B179" s="10"/>
      <c r="F179" s="2" t="n">
        <v>1</v>
      </c>
      <c r="G179" s="2" t="s">
        <v>20</v>
      </c>
      <c r="H179" s="2" t="s">
        <v>21</v>
      </c>
      <c r="I179" s="2" t="s">
        <v>22</v>
      </c>
      <c r="L179" s="10"/>
      <c r="M179" s="1" t="str">
        <f aca="false">IFERROR(VLOOKUP(L179, suppliers!$A$1:$Z$1000, 2, 0), "Enter a valid uuid in the supplier_uuid column")</f>
        <v>Enter a valid uuid in the supplier_uuid column</v>
      </c>
      <c r="N179" s="5" t="n">
        <v>0.1</v>
      </c>
      <c r="O179" s="2" t="s">
        <v>25</v>
      </c>
    </row>
    <row r="180" customFormat="false" ht="12.8" hidden="false" customHeight="false" outlineLevel="0" collapsed="false">
      <c r="A180" s="1" t="s">
        <v>566</v>
      </c>
      <c r="B180" s="10"/>
      <c r="F180" s="2" t="n">
        <v>1</v>
      </c>
      <c r="G180" s="2" t="s">
        <v>20</v>
      </c>
      <c r="H180" s="2" t="s">
        <v>21</v>
      </c>
      <c r="I180" s="2" t="s">
        <v>22</v>
      </c>
      <c r="L180" s="10"/>
      <c r="M180" s="1" t="str">
        <f aca="false">IFERROR(VLOOKUP(L180, suppliers!$A$1:$Z$1000, 2, 0), "Enter a valid uuid in the supplier_uuid column")</f>
        <v>Enter a valid uuid in the supplier_uuid column</v>
      </c>
      <c r="N180" s="5" t="n">
        <v>0.1</v>
      </c>
      <c r="O180" s="2" t="s">
        <v>25</v>
      </c>
    </row>
    <row r="181" customFormat="false" ht="12.8" hidden="false" customHeight="false" outlineLevel="0" collapsed="false">
      <c r="A181" s="1" t="s">
        <v>567</v>
      </c>
      <c r="B181" s="10"/>
      <c r="F181" s="2" t="n">
        <v>1</v>
      </c>
      <c r="G181" s="2" t="s">
        <v>20</v>
      </c>
      <c r="H181" s="2" t="s">
        <v>21</v>
      </c>
      <c r="I181" s="2" t="s">
        <v>22</v>
      </c>
      <c r="L181" s="10"/>
      <c r="M181" s="1" t="str">
        <f aca="false">IFERROR(VLOOKUP(L181, suppliers!$A$1:$Z$1000, 2, 0), "Enter a valid uuid in the supplier_uuid column")</f>
        <v>Enter a valid uuid in the supplier_uuid column</v>
      </c>
      <c r="N181" s="5" t="n">
        <v>0.1</v>
      </c>
      <c r="O181" s="2" t="s">
        <v>25</v>
      </c>
    </row>
    <row r="182" customFormat="false" ht="12.8" hidden="false" customHeight="false" outlineLevel="0" collapsed="false">
      <c r="A182" s="1" t="s">
        <v>568</v>
      </c>
      <c r="B182" s="10"/>
      <c r="F182" s="2" t="n">
        <v>1</v>
      </c>
      <c r="G182" s="2" t="s">
        <v>20</v>
      </c>
      <c r="H182" s="2" t="s">
        <v>21</v>
      </c>
      <c r="I182" s="2" t="s">
        <v>22</v>
      </c>
      <c r="L182" s="10"/>
      <c r="M182" s="1" t="str">
        <f aca="false">IFERROR(VLOOKUP(L182, suppliers!$A$1:$Z$1000, 2, 0), "Enter a valid uuid in the supplier_uuid column")</f>
        <v>Enter a valid uuid in the supplier_uuid column</v>
      </c>
      <c r="N182" s="5" t="n">
        <v>0.1</v>
      </c>
      <c r="O182" s="2" t="s">
        <v>25</v>
      </c>
    </row>
    <row r="183" customFormat="false" ht="12.8" hidden="false" customHeight="false" outlineLevel="0" collapsed="false">
      <c r="A183" s="1" t="s">
        <v>569</v>
      </c>
      <c r="B183" s="10"/>
      <c r="F183" s="2" t="n">
        <v>1</v>
      </c>
      <c r="G183" s="2" t="s">
        <v>20</v>
      </c>
      <c r="H183" s="2" t="s">
        <v>21</v>
      </c>
      <c r="I183" s="2" t="s">
        <v>22</v>
      </c>
      <c r="L183" s="10"/>
      <c r="M183" s="1" t="str">
        <f aca="false">IFERROR(VLOOKUP(L183, suppliers!$A$1:$Z$1000, 2, 0), "Enter a valid uuid in the supplier_uuid column")</f>
        <v>Enter a valid uuid in the supplier_uuid column</v>
      </c>
      <c r="N183" s="5" t="n">
        <v>0.1</v>
      </c>
      <c r="O183" s="2" t="s">
        <v>25</v>
      </c>
    </row>
    <row r="184" customFormat="false" ht="12.8" hidden="false" customHeight="false" outlineLevel="0" collapsed="false">
      <c r="A184" s="1" t="s">
        <v>570</v>
      </c>
      <c r="B184" s="10"/>
      <c r="F184" s="2" t="n">
        <v>1</v>
      </c>
      <c r="G184" s="2" t="s">
        <v>20</v>
      </c>
      <c r="H184" s="2" t="s">
        <v>21</v>
      </c>
      <c r="I184" s="2" t="s">
        <v>22</v>
      </c>
      <c r="L184" s="10"/>
      <c r="M184" s="1" t="str">
        <f aca="false">IFERROR(VLOOKUP(L184, suppliers!$A$1:$Z$1000, 2, 0), "Enter a valid uuid in the supplier_uuid column")</f>
        <v>Enter a valid uuid in the supplier_uuid column</v>
      </c>
      <c r="N184" s="5" t="n">
        <v>0.1</v>
      </c>
      <c r="O184" s="2" t="s">
        <v>25</v>
      </c>
    </row>
    <row r="185" customFormat="false" ht="12.8" hidden="false" customHeight="false" outlineLevel="0" collapsed="false">
      <c r="A185" s="1" t="s">
        <v>571</v>
      </c>
      <c r="B185" s="10"/>
      <c r="F185" s="2" t="n">
        <v>1</v>
      </c>
      <c r="G185" s="2" t="s">
        <v>20</v>
      </c>
      <c r="H185" s="2" t="s">
        <v>21</v>
      </c>
      <c r="I185" s="2" t="s">
        <v>22</v>
      </c>
      <c r="L185" s="10"/>
      <c r="M185" s="1" t="str">
        <f aca="false">IFERROR(VLOOKUP(L185, suppliers!$A$1:$Z$1000, 2, 0), "Enter a valid uuid in the supplier_uuid column")</f>
        <v>Enter a valid uuid in the supplier_uuid column</v>
      </c>
      <c r="N185" s="5" t="n">
        <v>0.1</v>
      </c>
      <c r="O185" s="2" t="s">
        <v>25</v>
      </c>
    </row>
    <row r="186" customFormat="false" ht="12.8" hidden="false" customHeight="false" outlineLevel="0" collapsed="false">
      <c r="A186" s="1" t="s">
        <v>572</v>
      </c>
      <c r="B186" s="10"/>
      <c r="F186" s="2" t="n">
        <v>1</v>
      </c>
      <c r="G186" s="2" t="s">
        <v>20</v>
      </c>
      <c r="H186" s="2" t="s">
        <v>21</v>
      </c>
      <c r="I186" s="2" t="s">
        <v>22</v>
      </c>
      <c r="L186" s="10"/>
      <c r="M186" s="1" t="str">
        <f aca="false">IFERROR(VLOOKUP(L186, suppliers!$A$1:$Z$1000, 2, 0), "Enter a valid uuid in the supplier_uuid column")</f>
        <v>Enter a valid uuid in the supplier_uuid column</v>
      </c>
      <c r="N186" s="5" t="n">
        <v>0.1</v>
      </c>
      <c r="O186" s="2" t="s">
        <v>25</v>
      </c>
    </row>
    <row r="187" customFormat="false" ht="12.8" hidden="false" customHeight="false" outlineLevel="0" collapsed="false">
      <c r="A187" s="1" t="s">
        <v>573</v>
      </c>
      <c r="B187" s="10"/>
      <c r="F187" s="2" t="n">
        <v>1</v>
      </c>
      <c r="G187" s="2" t="s">
        <v>20</v>
      </c>
      <c r="H187" s="2" t="s">
        <v>21</v>
      </c>
      <c r="I187" s="2" t="s">
        <v>22</v>
      </c>
      <c r="L187" s="10"/>
      <c r="M187" s="1" t="str">
        <f aca="false">IFERROR(VLOOKUP(L187, suppliers!$A$1:$Z$1000, 2, 0), "Enter a valid uuid in the supplier_uuid column")</f>
        <v>Enter a valid uuid in the supplier_uuid column</v>
      </c>
      <c r="N187" s="5" t="n">
        <v>0.1</v>
      </c>
      <c r="O187" s="2" t="s">
        <v>25</v>
      </c>
    </row>
    <row r="188" customFormat="false" ht="12.8" hidden="false" customHeight="false" outlineLevel="0" collapsed="false">
      <c r="A188" s="1" t="s">
        <v>574</v>
      </c>
      <c r="B188" s="10"/>
      <c r="F188" s="2" t="n">
        <v>1</v>
      </c>
      <c r="G188" s="2" t="s">
        <v>20</v>
      </c>
      <c r="H188" s="2" t="s">
        <v>21</v>
      </c>
      <c r="I188" s="2" t="s">
        <v>22</v>
      </c>
      <c r="L188" s="10"/>
      <c r="M188" s="1" t="str">
        <f aca="false">IFERROR(VLOOKUP(L188, suppliers!$A$1:$Z$1000, 2, 0), "Enter a valid uuid in the supplier_uuid column")</f>
        <v>Enter a valid uuid in the supplier_uuid column</v>
      </c>
      <c r="N188" s="5" t="n">
        <v>0.1</v>
      </c>
      <c r="O188" s="2" t="s">
        <v>25</v>
      </c>
    </row>
    <row r="189" customFormat="false" ht="12.8" hidden="false" customHeight="false" outlineLevel="0" collapsed="false">
      <c r="A189" s="1" t="s">
        <v>575</v>
      </c>
      <c r="B189" s="10"/>
      <c r="F189" s="2" t="n">
        <v>1</v>
      </c>
      <c r="G189" s="2" t="s">
        <v>20</v>
      </c>
      <c r="H189" s="2" t="s">
        <v>21</v>
      </c>
      <c r="I189" s="2" t="s">
        <v>22</v>
      </c>
      <c r="L189" s="10"/>
      <c r="M189" s="1" t="str">
        <f aca="false">IFERROR(VLOOKUP(L189, suppliers!$A$1:$Z$1000, 2, 0), "Enter a valid uuid in the supplier_uuid column")</f>
        <v>Enter a valid uuid in the supplier_uuid column</v>
      </c>
      <c r="N189" s="5" t="n">
        <v>0.1</v>
      </c>
      <c r="O189" s="2" t="s">
        <v>25</v>
      </c>
    </row>
    <row r="190" customFormat="false" ht="12.8" hidden="false" customHeight="false" outlineLevel="0" collapsed="false">
      <c r="A190" s="1" t="s">
        <v>576</v>
      </c>
      <c r="B190" s="10"/>
      <c r="F190" s="2" t="n">
        <v>1</v>
      </c>
      <c r="G190" s="2" t="s">
        <v>20</v>
      </c>
      <c r="H190" s="2" t="s">
        <v>21</v>
      </c>
      <c r="I190" s="2" t="s">
        <v>22</v>
      </c>
      <c r="L190" s="10"/>
      <c r="M190" s="1" t="str">
        <f aca="false">IFERROR(VLOOKUP(L190, suppliers!$A$1:$Z$1000, 2, 0), "Enter a valid uuid in the supplier_uuid column")</f>
        <v>Enter a valid uuid in the supplier_uuid column</v>
      </c>
      <c r="N190" s="5" t="n">
        <v>0.1</v>
      </c>
      <c r="O190" s="2" t="s">
        <v>25</v>
      </c>
    </row>
    <row r="191" customFormat="false" ht="12.8" hidden="false" customHeight="false" outlineLevel="0" collapsed="false">
      <c r="A191" s="1" t="s">
        <v>577</v>
      </c>
      <c r="B191" s="10"/>
      <c r="F191" s="2" t="n">
        <v>1</v>
      </c>
      <c r="G191" s="2" t="s">
        <v>20</v>
      </c>
      <c r="H191" s="2" t="s">
        <v>21</v>
      </c>
      <c r="I191" s="2" t="s">
        <v>22</v>
      </c>
      <c r="L191" s="10"/>
      <c r="M191" s="1" t="str">
        <f aca="false">IFERROR(VLOOKUP(L191, suppliers!$A$1:$Z$1000, 2, 0), "Enter a valid uuid in the supplier_uuid column")</f>
        <v>Enter a valid uuid in the supplier_uuid column</v>
      </c>
      <c r="N191" s="5" t="n">
        <v>0.1</v>
      </c>
      <c r="O191" s="2" t="s">
        <v>25</v>
      </c>
    </row>
    <row r="192" customFormat="false" ht="12.8" hidden="false" customHeight="false" outlineLevel="0" collapsed="false">
      <c r="A192" s="1" t="s">
        <v>578</v>
      </c>
      <c r="B192" s="10"/>
      <c r="F192" s="2" t="n">
        <v>1</v>
      </c>
      <c r="G192" s="2" t="s">
        <v>20</v>
      </c>
      <c r="H192" s="2" t="s">
        <v>21</v>
      </c>
      <c r="I192" s="2" t="s">
        <v>22</v>
      </c>
      <c r="L192" s="10"/>
      <c r="M192" s="1" t="str">
        <f aca="false">IFERROR(VLOOKUP(L192, suppliers!$A$1:$Z$1000, 2, 0), "Enter a valid uuid in the supplier_uuid column")</f>
        <v>Enter a valid uuid in the supplier_uuid column</v>
      </c>
      <c r="N192" s="5" t="n">
        <v>0.1</v>
      </c>
      <c r="O192" s="2" t="s">
        <v>25</v>
      </c>
    </row>
    <row r="193" customFormat="false" ht="12.8" hidden="false" customHeight="false" outlineLevel="0" collapsed="false">
      <c r="A193" s="1" t="s">
        <v>579</v>
      </c>
      <c r="B193" s="10"/>
      <c r="F193" s="2" t="n">
        <v>1</v>
      </c>
      <c r="G193" s="2" t="s">
        <v>20</v>
      </c>
      <c r="H193" s="2" t="s">
        <v>21</v>
      </c>
      <c r="I193" s="2" t="s">
        <v>22</v>
      </c>
      <c r="L193" s="10"/>
      <c r="M193" s="1" t="str">
        <f aca="false">IFERROR(VLOOKUP(L193, suppliers!$A$1:$Z$1000, 2, 0), "Enter a valid uuid in the supplier_uuid column")</f>
        <v>Enter a valid uuid in the supplier_uuid column</v>
      </c>
      <c r="N193" s="5" t="n">
        <v>0.1</v>
      </c>
      <c r="O193" s="2" t="s">
        <v>25</v>
      </c>
    </row>
    <row r="194" customFormat="false" ht="12.8" hidden="false" customHeight="false" outlineLevel="0" collapsed="false">
      <c r="A194" s="1" t="s">
        <v>580</v>
      </c>
      <c r="B194" s="10"/>
      <c r="F194" s="2" t="n">
        <v>1</v>
      </c>
      <c r="G194" s="2" t="s">
        <v>20</v>
      </c>
      <c r="H194" s="2" t="s">
        <v>21</v>
      </c>
      <c r="I194" s="2" t="s">
        <v>22</v>
      </c>
      <c r="L194" s="10"/>
      <c r="M194" s="1" t="str">
        <f aca="false">IFERROR(VLOOKUP(L194, suppliers!$A$1:$Z$1000, 2, 0), "Enter a valid uuid in the supplier_uuid column")</f>
        <v>Enter a valid uuid in the supplier_uuid column</v>
      </c>
      <c r="N194" s="5" t="n">
        <v>0.1</v>
      </c>
      <c r="O194" s="2" t="s">
        <v>25</v>
      </c>
    </row>
    <row r="195" customFormat="false" ht="12.8" hidden="false" customHeight="false" outlineLevel="0" collapsed="false">
      <c r="A195" s="1" t="s">
        <v>581</v>
      </c>
      <c r="B195" s="10"/>
      <c r="F195" s="2" t="n">
        <v>1</v>
      </c>
      <c r="G195" s="2" t="s">
        <v>20</v>
      </c>
      <c r="H195" s="2" t="s">
        <v>21</v>
      </c>
      <c r="I195" s="2" t="s">
        <v>22</v>
      </c>
      <c r="L195" s="10"/>
      <c r="M195" s="1" t="str">
        <f aca="false">IFERROR(VLOOKUP(L195, suppliers!$A$1:$Z$1000, 2, 0), "Enter a valid uuid in the supplier_uuid column")</f>
        <v>Enter a valid uuid in the supplier_uuid column</v>
      </c>
      <c r="N195" s="5" t="n">
        <v>0.1</v>
      </c>
      <c r="O195" s="2" t="s">
        <v>25</v>
      </c>
    </row>
    <row r="196" customFormat="false" ht="12.8" hidden="false" customHeight="false" outlineLevel="0" collapsed="false">
      <c r="A196" s="1" t="s">
        <v>582</v>
      </c>
      <c r="B196" s="10"/>
      <c r="F196" s="2" t="n">
        <v>1</v>
      </c>
      <c r="G196" s="2" t="s">
        <v>20</v>
      </c>
      <c r="H196" s="2" t="s">
        <v>21</v>
      </c>
      <c r="I196" s="2" t="s">
        <v>22</v>
      </c>
      <c r="L196" s="10"/>
      <c r="M196" s="1" t="str">
        <f aca="false">IFERROR(VLOOKUP(L196, suppliers!$A$1:$Z$1000, 2, 0), "Enter a valid uuid in the supplier_uuid column")</f>
        <v>Enter a valid uuid in the supplier_uuid column</v>
      </c>
      <c r="N196" s="5" t="n">
        <v>0.1</v>
      </c>
      <c r="O196" s="2" t="s">
        <v>25</v>
      </c>
    </row>
    <row r="197" customFormat="false" ht="12.8" hidden="false" customHeight="false" outlineLevel="0" collapsed="false">
      <c r="A197" s="1" t="s">
        <v>583</v>
      </c>
      <c r="B197" s="10"/>
      <c r="F197" s="2" t="n">
        <v>1</v>
      </c>
      <c r="G197" s="2" t="s">
        <v>20</v>
      </c>
      <c r="H197" s="2" t="s">
        <v>21</v>
      </c>
      <c r="I197" s="2" t="s">
        <v>22</v>
      </c>
      <c r="L197" s="10"/>
      <c r="M197" s="1" t="str">
        <f aca="false">IFERROR(VLOOKUP(L197, suppliers!$A$1:$Z$1000, 2, 0), "Enter a valid uuid in the supplier_uuid column")</f>
        <v>Enter a valid uuid in the supplier_uuid column</v>
      </c>
      <c r="N197" s="5" t="n">
        <v>0.1</v>
      </c>
      <c r="O197" s="2" t="s">
        <v>25</v>
      </c>
    </row>
    <row r="198" customFormat="false" ht="12.8" hidden="false" customHeight="false" outlineLevel="0" collapsed="false">
      <c r="A198" s="1" t="s">
        <v>584</v>
      </c>
      <c r="B198" s="10"/>
      <c r="F198" s="2" t="n">
        <v>1</v>
      </c>
      <c r="G198" s="2" t="s">
        <v>20</v>
      </c>
      <c r="H198" s="2" t="s">
        <v>21</v>
      </c>
      <c r="I198" s="2" t="s">
        <v>22</v>
      </c>
      <c r="L198" s="10"/>
      <c r="M198" s="1" t="str">
        <f aca="false">IFERROR(VLOOKUP(L198, suppliers!$A$1:$Z$1000, 2, 0), "Enter a valid uuid in the supplier_uuid column")</f>
        <v>Enter a valid uuid in the supplier_uuid column</v>
      </c>
      <c r="N198" s="5" t="n">
        <v>0.1</v>
      </c>
      <c r="O198" s="2" t="s">
        <v>25</v>
      </c>
    </row>
    <row r="199" customFormat="false" ht="12.8" hidden="false" customHeight="false" outlineLevel="0" collapsed="false">
      <c r="A199" s="1" t="s">
        <v>585</v>
      </c>
      <c r="B199" s="10"/>
      <c r="F199" s="2" t="n">
        <v>1</v>
      </c>
      <c r="G199" s="2" t="s">
        <v>20</v>
      </c>
      <c r="H199" s="2" t="s">
        <v>21</v>
      </c>
      <c r="I199" s="2" t="s">
        <v>22</v>
      </c>
      <c r="L199" s="10"/>
      <c r="M199" s="1" t="str">
        <f aca="false">IFERROR(VLOOKUP(L199, suppliers!$A$1:$Z$1000, 2, 0), "Enter a valid uuid in the supplier_uuid column")</f>
        <v>Enter a valid uuid in the supplier_uuid column</v>
      </c>
      <c r="N199" s="5" t="n">
        <v>0.1</v>
      </c>
      <c r="O199" s="2" t="s">
        <v>25</v>
      </c>
    </row>
    <row r="200" customFormat="false" ht="12.8" hidden="false" customHeight="false" outlineLevel="0" collapsed="false">
      <c r="A200" s="1" t="s">
        <v>586</v>
      </c>
      <c r="B200" s="10"/>
      <c r="F200" s="2" t="n">
        <v>1</v>
      </c>
      <c r="G200" s="2" t="s">
        <v>20</v>
      </c>
      <c r="H200" s="2" t="s">
        <v>21</v>
      </c>
      <c r="I200" s="2" t="s">
        <v>22</v>
      </c>
      <c r="L200" s="10"/>
      <c r="M200" s="1" t="str">
        <f aca="false">IFERROR(VLOOKUP(L200, suppliers!$A$1:$Z$1000, 2, 0), "Enter a valid uuid in the supplier_uuid column")</f>
        <v>Enter a valid uuid in the supplier_uuid column</v>
      </c>
      <c r="N200" s="5" t="n">
        <v>0.1</v>
      </c>
      <c r="O200" s="2" t="s">
        <v>25</v>
      </c>
    </row>
    <row r="201" customFormat="false" ht="12.8" hidden="false" customHeight="false" outlineLevel="0" collapsed="false">
      <c r="A201" s="1" t="s">
        <v>587</v>
      </c>
      <c r="B201" s="10"/>
      <c r="F201" s="2" t="n">
        <v>1</v>
      </c>
      <c r="G201" s="2" t="s">
        <v>20</v>
      </c>
      <c r="H201" s="2" t="s">
        <v>21</v>
      </c>
      <c r="I201" s="2" t="s">
        <v>22</v>
      </c>
      <c r="L201" s="10"/>
      <c r="M201" s="1" t="str">
        <f aca="false">IFERROR(VLOOKUP(L201, suppliers!$A$1:$Z$1000, 2, 0), "Enter a valid uuid in the supplier_uuid column")</f>
        <v>Enter a valid uuid in the supplier_uuid column</v>
      </c>
      <c r="N201" s="5" t="n">
        <v>0.1</v>
      </c>
      <c r="O201" s="2" t="s">
        <v>25</v>
      </c>
    </row>
    <row r="202" customFormat="false" ht="12.8" hidden="false" customHeight="false" outlineLevel="0" collapsed="false">
      <c r="A202" s="1" t="s">
        <v>588</v>
      </c>
      <c r="B202" s="10"/>
      <c r="F202" s="2" t="n">
        <v>1</v>
      </c>
      <c r="G202" s="2" t="s">
        <v>20</v>
      </c>
      <c r="H202" s="2" t="s">
        <v>21</v>
      </c>
      <c r="I202" s="2" t="s">
        <v>22</v>
      </c>
      <c r="L202" s="10"/>
      <c r="M202" s="1" t="str">
        <f aca="false">IFERROR(VLOOKUP(L202, suppliers!$A$1:$Z$1000, 2, 0), "Enter a valid uuid in the supplier_uuid column")</f>
        <v>Enter a valid uuid in the supplier_uuid column</v>
      </c>
      <c r="N202" s="5" t="n">
        <v>0.1</v>
      </c>
      <c r="O202" s="2" t="s">
        <v>25</v>
      </c>
    </row>
    <row r="203" customFormat="false" ht="12.8" hidden="false" customHeight="false" outlineLevel="0" collapsed="false">
      <c r="A203" s="1" t="s">
        <v>589</v>
      </c>
      <c r="B203" s="10"/>
      <c r="F203" s="2" t="n">
        <v>1</v>
      </c>
      <c r="G203" s="2" t="s">
        <v>20</v>
      </c>
      <c r="H203" s="2" t="s">
        <v>21</v>
      </c>
      <c r="I203" s="2" t="s">
        <v>22</v>
      </c>
      <c r="L203" s="10"/>
      <c r="M203" s="1" t="str">
        <f aca="false">IFERROR(VLOOKUP(L203, suppliers!$A$1:$Z$1000, 2, 0), "Enter a valid uuid in the supplier_uuid column")</f>
        <v>Enter a valid uuid in the supplier_uuid column</v>
      </c>
      <c r="N203" s="5" t="n">
        <v>0.1</v>
      </c>
      <c r="O203" s="2" t="s">
        <v>25</v>
      </c>
    </row>
    <row r="204" customFormat="false" ht="12.8" hidden="false" customHeight="false" outlineLevel="0" collapsed="false">
      <c r="A204" s="1" t="s">
        <v>590</v>
      </c>
      <c r="B204" s="10"/>
      <c r="F204" s="2" t="n">
        <v>1</v>
      </c>
      <c r="G204" s="2" t="s">
        <v>20</v>
      </c>
      <c r="H204" s="2" t="s">
        <v>21</v>
      </c>
      <c r="I204" s="2" t="s">
        <v>22</v>
      </c>
      <c r="L204" s="10"/>
      <c r="M204" s="1" t="str">
        <f aca="false">IFERROR(VLOOKUP(L204, suppliers!$A$1:$Z$1000, 2, 0), "Enter a valid uuid in the supplier_uuid column")</f>
        <v>Enter a valid uuid in the supplier_uuid column</v>
      </c>
      <c r="N204" s="5" t="n">
        <v>0.1</v>
      </c>
      <c r="O204" s="2" t="s">
        <v>25</v>
      </c>
    </row>
    <row r="205" customFormat="false" ht="12.8" hidden="false" customHeight="false" outlineLevel="0" collapsed="false">
      <c r="A205" s="1" t="s">
        <v>591</v>
      </c>
      <c r="B205" s="10"/>
      <c r="F205" s="2" t="n">
        <v>1</v>
      </c>
      <c r="G205" s="2" t="s">
        <v>20</v>
      </c>
      <c r="H205" s="2" t="s">
        <v>21</v>
      </c>
      <c r="I205" s="2" t="s">
        <v>22</v>
      </c>
      <c r="L205" s="10"/>
      <c r="M205" s="1" t="str">
        <f aca="false">IFERROR(VLOOKUP(L205, suppliers!$A$1:$Z$1000, 2, 0), "Enter a valid uuid in the supplier_uuid column")</f>
        <v>Enter a valid uuid in the supplier_uuid column</v>
      </c>
      <c r="N205" s="5" t="n">
        <v>0.1</v>
      </c>
      <c r="O205" s="2" t="s">
        <v>25</v>
      </c>
    </row>
    <row r="206" customFormat="false" ht="12.8" hidden="false" customHeight="false" outlineLevel="0" collapsed="false">
      <c r="A206" s="1" t="s">
        <v>592</v>
      </c>
      <c r="B206" s="10"/>
      <c r="F206" s="2" t="n">
        <v>1</v>
      </c>
      <c r="G206" s="2" t="s">
        <v>20</v>
      </c>
      <c r="H206" s="2" t="s">
        <v>21</v>
      </c>
      <c r="I206" s="2" t="s">
        <v>22</v>
      </c>
      <c r="L206" s="10"/>
      <c r="M206" s="1" t="str">
        <f aca="false">IFERROR(VLOOKUP(L206, suppliers!$A$1:$Z$1000, 2, 0), "Enter a valid uuid in the supplier_uuid column")</f>
        <v>Enter a valid uuid in the supplier_uuid column</v>
      </c>
      <c r="N206" s="5" t="n">
        <v>0.1</v>
      </c>
      <c r="O206" s="2" t="s">
        <v>25</v>
      </c>
    </row>
    <row r="207" customFormat="false" ht="12.8" hidden="false" customHeight="false" outlineLevel="0" collapsed="false">
      <c r="A207" s="1" t="s">
        <v>593</v>
      </c>
      <c r="B207" s="10"/>
      <c r="F207" s="2" t="n">
        <v>1</v>
      </c>
      <c r="G207" s="2" t="s">
        <v>20</v>
      </c>
      <c r="H207" s="2" t="s">
        <v>21</v>
      </c>
      <c r="I207" s="2" t="s">
        <v>22</v>
      </c>
      <c r="L207" s="10"/>
      <c r="M207" s="1" t="str">
        <f aca="false">IFERROR(VLOOKUP(L207, suppliers!$A$1:$Z$1000, 2, 0), "Enter a valid uuid in the supplier_uuid column")</f>
        <v>Enter a valid uuid in the supplier_uuid column</v>
      </c>
      <c r="N207" s="5" t="n">
        <v>0.1</v>
      </c>
      <c r="O207" s="2" t="s">
        <v>25</v>
      </c>
    </row>
    <row r="208" customFormat="false" ht="12.8" hidden="false" customHeight="false" outlineLevel="0" collapsed="false">
      <c r="A208" s="1" t="s">
        <v>594</v>
      </c>
      <c r="B208" s="10"/>
      <c r="F208" s="2" t="n">
        <v>1</v>
      </c>
      <c r="G208" s="2" t="s">
        <v>20</v>
      </c>
      <c r="H208" s="2" t="s">
        <v>21</v>
      </c>
      <c r="I208" s="2" t="s">
        <v>22</v>
      </c>
      <c r="L208" s="10"/>
      <c r="M208" s="1" t="str">
        <f aca="false">IFERROR(VLOOKUP(L208, suppliers!$A$1:$Z$1000, 2, 0), "Enter a valid uuid in the supplier_uuid column")</f>
        <v>Enter a valid uuid in the supplier_uuid column</v>
      </c>
      <c r="N208" s="5" t="n">
        <v>0.1</v>
      </c>
      <c r="O208" s="2" t="s">
        <v>25</v>
      </c>
    </row>
    <row r="209" customFormat="false" ht="12.8" hidden="false" customHeight="false" outlineLevel="0" collapsed="false">
      <c r="A209" s="1" t="s">
        <v>595</v>
      </c>
      <c r="B209" s="10"/>
      <c r="F209" s="2" t="n">
        <v>1</v>
      </c>
      <c r="G209" s="2" t="s">
        <v>20</v>
      </c>
      <c r="H209" s="2" t="s">
        <v>21</v>
      </c>
      <c r="I209" s="2" t="s">
        <v>22</v>
      </c>
      <c r="L209" s="10"/>
      <c r="M209" s="1" t="str">
        <f aca="false">IFERROR(VLOOKUP(L209, suppliers!$A$1:$Z$1000, 2, 0), "Enter a valid uuid in the supplier_uuid column")</f>
        <v>Enter a valid uuid in the supplier_uuid column</v>
      </c>
      <c r="N209" s="5" t="n">
        <v>0.1</v>
      </c>
      <c r="O209" s="2" t="s">
        <v>25</v>
      </c>
    </row>
    <row r="210" customFormat="false" ht="12.8" hidden="false" customHeight="false" outlineLevel="0" collapsed="false">
      <c r="A210" s="1" t="s">
        <v>596</v>
      </c>
      <c r="B210" s="10"/>
      <c r="F210" s="2" t="n">
        <v>1</v>
      </c>
      <c r="G210" s="2" t="s">
        <v>20</v>
      </c>
      <c r="H210" s="2" t="s">
        <v>21</v>
      </c>
      <c r="I210" s="2" t="s">
        <v>22</v>
      </c>
      <c r="L210" s="10"/>
      <c r="M210" s="1" t="str">
        <f aca="false">IFERROR(VLOOKUP(L210, suppliers!$A$1:$Z$1000, 2, 0), "Enter a valid uuid in the supplier_uuid column")</f>
        <v>Enter a valid uuid in the supplier_uuid column</v>
      </c>
      <c r="N210" s="5" t="n">
        <v>0.1</v>
      </c>
      <c r="O210" s="2" t="s">
        <v>25</v>
      </c>
    </row>
    <row r="211" customFormat="false" ht="12.8" hidden="false" customHeight="false" outlineLevel="0" collapsed="false">
      <c r="A211" s="1" t="s">
        <v>597</v>
      </c>
      <c r="B211" s="10"/>
      <c r="F211" s="2" t="n">
        <v>1</v>
      </c>
      <c r="G211" s="2" t="s">
        <v>20</v>
      </c>
      <c r="H211" s="2" t="s">
        <v>21</v>
      </c>
      <c r="I211" s="2" t="s">
        <v>22</v>
      </c>
      <c r="L211" s="10"/>
      <c r="M211" s="1" t="str">
        <f aca="false">IFERROR(VLOOKUP(L211, suppliers!$A$1:$Z$1000, 2, 0), "Enter a valid uuid in the supplier_uuid column")</f>
        <v>Enter a valid uuid in the supplier_uuid column</v>
      </c>
      <c r="N211" s="5" t="n">
        <v>0.1</v>
      </c>
      <c r="O211" s="2" t="s">
        <v>25</v>
      </c>
    </row>
    <row r="212" customFormat="false" ht="12.8" hidden="false" customHeight="false" outlineLevel="0" collapsed="false">
      <c r="A212" s="1" t="s">
        <v>598</v>
      </c>
      <c r="B212" s="10"/>
      <c r="F212" s="2" t="n">
        <v>1</v>
      </c>
      <c r="G212" s="2" t="s">
        <v>20</v>
      </c>
      <c r="H212" s="2" t="s">
        <v>21</v>
      </c>
      <c r="I212" s="2" t="s">
        <v>22</v>
      </c>
      <c r="L212" s="10"/>
      <c r="M212" s="1" t="str">
        <f aca="false">IFERROR(VLOOKUP(L212, suppliers!$A$1:$Z$1000, 2, 0), "Enter a valid uuid in the supplier_uuid column")</f>
        <v>Enter a valid uuid in the supplier_uuid column</v>
      </c>
      <c r="N212" s="5" t="n">
        <v>0.1</v>
      </c>
      <c r="O212" s="2" t="s">
        <v>25</v>
      </c>
    </row>
    <row r="213" customFormat="false" ht="12.8" hidden="false" customHeight="false" outlineLevel="0" collapsed="false">
      <c r="A213" s="1" t="s">
        <v>599</v>
      </c>
      <c r="B213" s="10"/>
      <c r="F213" s="2" t="n">
        <v>1</v>
      </c>
      <c r="G213" s="2" t="s">
        <v>20</v>
      </c>
      <c r="H213" s="2" t="s">
        <v>21</v>
      </c>
      <c r="I213" s="2" t="s">
        <v>22</v>
      </c>
      <c r="L213" s="10"/>
      <c r="M213" s="1" t="str">
        <f aca="false">IFERROR(VLOOKUP(L213, suppliers!$A$1:$Z$1000, 2, 0), "Enter a valid uuid in the supplier_uuid column")</f>
        <v>Enter a valid uuid in the supplier_uuid column</v>
      </c>
      <c r="N213" s="5" t="n">
        <v>0.1</v>
      </c>
      <c r="O213" s="2" t="s">
        <v>25</v>
      </c>
    </row>
    <row r="214" customFormat="false" ht="12.8" hidden="false" customHeight="false" outlineLevel="0" collapsed="false">
      <c r="A214" s="1" t="s">
        <v>600</v>
      </c>
      <c r="B214" s="10"/>
      <c r="F214" s="2" t="n">
        <v>1</v>
      </c>
      <c r="G214" s="2" t="s">
        <v>20</v>
      </c>
      <c r="H214" s="2" t="s">
        <v>21</v>
      </c>
      <c r="I214" s="2" t="s">
        <v>22</v>
      </c>
      <c r="L214" s="10"/>
      <c r="M214" s="1" t="str">
        <f aca="false">IFERROR(VLOOKUP(L214, suppliers!$A$1:$Z$1000, 2, 0), "Enter a valid uuid in the supplier_uuid column")</f>
        <v>Enter a valid uuid in the supplier_uuid column</v>
      </c>
      <c r="N214" s="5" t="n">
        <v>0.1</v>
      </c>
      <c r="O214" s="2" t="s">
        <v>25</v>
      </c>
    </row>
    <row r="215" customFormat="false" ht="12.8" hidden="false" customHeight="false" outlineLevel="0" collapsed="false">
      <c r="A215" s="1" t="s">
        <v>601</v>
      </c>
      <c r="B215" s="10"/>
      <c r="F215" s="2" t="n">
        <v>1</v>
      </c>
      <c r="G215" s="2" t="s">
        <v>20</v>
      </c>
      <c r="H215" s="2" t="s">
        <v>21</v>
      </c>
      <c r="I215" s="2" t="s">
        <v>22</v>
      </c>
      <c r="L215" s="10"/>
      <c r="M215" s="1" t="str">
        <f aca="false">IFERROR(VLOOKUP(L215, suppliers!$A$1:$Z$1000, 2, 0), "Enter a valid uuid in the supplier_uuid column")</f>
        <v>Enter a valid uuid in the supplier_uuid column</v>
      </c>
      <c r="N215" s="5" t="n">
        <v>0.1</v>
      </c>
      <c r="O215" s="2" t="s">
        <v>25</v>
      </c>
    </row>
    <row r="216" customFormat="false" ht="12.8" hidden="false" customHeight="false" outlineLevel="0" collapsed="false">
      <c r="A216" s="1" t="s">
        <v>602</v>
      </c>
      <c r="B216" s="10"/>
      <c r="F216" s="2" t="n">
        <v>1</v>
      </c>
      <c r="G216" s="2" t="s">
        <v>20</v>
      </c>
      <c r="H216" s="2" t="s">
        <v>21</v>
      </c>
      <c r="I216" s="2" t="s">
        <v>22</v>
      </c>
      <c r="L216" s="10"/>
      <c r="M216" s="1" t="str">
        <f aca="false">IFERROR(VLOOKUP(L216, suppliers!$A$1:$Z$1000, 2, 0), "Enter a valid uuid in the supplier_uuid column")</f>
        <v>Enter a valid uuid in the supplier_uuid column</v>
      </c>
      <c r="N216" s="5" t="n">
        <v>0.1</v>
      </c>
      <c r="O216" s="2" t="s">
        <v>25</v>
      </c>
    </row>
    <row r="217" customFormat="false" ht="12.8" hidden="false" customHeight="false" outlineLevel="0" collapsed="false">
      <c r="A217" s="1" t="s">
        <v>603</v>
      </c>
      <c r="B217" s="10"/>
      <c r="F217" s="2" t="n">
        <v>1</v>
      </c>
      <c r="G217" s="2" t="s">
        <v>20</v>
      </c>
      <c r="H217" s="2" t="s">
        <v>21</v>
      </c>
      <c r="I217" s="2" t="s">
        <v>22</v>
      </c>
      <c r="L217" s="10"/>
      <c r="M217" s="1" t="str">
        <f aca="false">IFERROR(VLOOKUP(L217, suppliers!$A$1:$Z$1000, 2, 0), "Enter a valid uuid in the supplier_uuid column")</f>
        <v>Enter a valid uuid in the supplier_uuid column</v>
      </c>
      <c r="N217" s="5" t="n">
        <v>0.1</v>
      </c>
      <c r="O217" s="2" t="s">
        <v>25</v>
      </c>
    </row>
    <row r="218" customFormat="false" ht="12.8" hidden="false" customHeight="false" outlineLevel="0" collapsed="false">
      <c r="A218" s="1" t="s">
        <v>604</v>
      </c>
      <c r="B218" s="10"/>
      <c r="F218" s="2" t="n">
        <v>1</v>
      </c>
      <c r="G218" s="2" t="s">
        <v>20</v>
      </c>
      <c r="H218" s="2" t="s">
        <v>21</v>
      </c>
      <c r="I218" s="2" t="s">
        <v>22</v>
      </c>
      <c r="L218" s="10"/>
      <c r="M218" s="1" t="str">
        <f aca="false">IFERROR(VLOOKUP(L218, suppliers!$A$1:$Z$1000, 2, 0), "Enter a valid uuid in the supplier_uuid column")</f>
        <v>Enter a valid uuid in the supplier_uuid column</v>
      </c>
      <c r="N218" s="5" t="n">
        <v>0.1</v>
      </c>
      <c r="O218" s="2" t="s">
        <v>25</v>
      </c>
    </row>
    <row r="219" customFormat="false" ht="12.8" hidden="false" customHeight="false" outlineLevel="0" collapsed="false">
      <c r="A219" s="1" t="s">
        <v>605</v>
      </c>
      <c r="B219" s="10"/>
      <c r="F219" s="2" t="n">
        <v>1</v>
      </c>
      <c r="G219" s="2" t="s">
        <v>20</v>
      </c>
      <c r="H219" s="2" t="s">
        <v>21</v>
      </c>
      <c r="I219" s="2" t="s">
        <v>22</v>
      </c>
      <c r="L219" s="10"/>
      <c r="M219" s="1" t="str">
        <f aca="false">IFERROR(VLOOKUP(L219, suppliers!$A$1:$Z$1000, 2, 0), "Enter a valid uuid in the supplier_uuid column")</f>
        <v>Enter a valid uuid in the supplier_uuid column</v>
      </c>
      <c r="N219" s="5" t="n">
        <v>0.1</v>
      </c>
      <c r="O219" s="2" t="s">
        <v>25</v>
      </c>
    </row>
    <row r="220" customFormat="false" ht="12.8" hidden="false" customHeight="false" outlineLevel="0" collapsed="false">
      <c r="A220" s="1" t="s">
        <v>606</v>
      </c>
      <c r="B220" s="10"/>
      <c r="F220" s="2" t="n">
        <v>1</v>
      </c>
      <c r="G220" s="2" t="s">
        <v>20</v>
      </c>
      <c r="H220" s="2" t="s">
        <v>21</v>
      </c>
      <c r="I220" s="2" t="s">
        <v>22</v>
      </c>
      <c r="L220" s="10"/>
      <c r="M220" s="1" t="str">
        <f aca="false">IFERROR(VLOOKUP(L220, suppliers!$A$1:$Z$1000, 2, 0), "Enter a valid uuid in the supplier_uuid column")</f>
        <v>Enter a valid uuid in the supplier_uuid column</v>
      </c>
      <c r="N220" s="5" t="n">
        <v>0.1</v>
      </c>
      <c r="O220" s="2" t="s">
        <v>25</v>
      </c>
    </row>
    <row r="221" customFormat="false" ht="12.8" hidden="false" customHeight="false" outlineLevel="0" collapsed="false">
      <c r="A221" s="1" t="s">
        <v>607</v>
      </c>
      <c r="B221" s="10"/>
      <c r="F221" s="2" t="n">
        <v>1</v>
      </c>
      <c r="G221" s="2" t="s">
        <v>20</v>
      </c>
      <c r="H221" s="2" t="s">
        <v>21</v>
      </c>
      <c r="I221" s="2" t="s">
        <v>22</v>
      </c>
      <c r="L221" s="10"/>
      <c r="M221" s="1" t="str">
        <f aca="false">IFERROR(VLOOKUP(L221, suppliers!$A$1:$Z$1000, 2, 0), "Enter a valid uuid in the supplier_uuid column")</f>
        <v>Enter a valid uuid in the supplier_uuid column</v>
      </c>
      <c r="N221" s="5" t="n">
        <v>0.1</v>
      </c>
      <c r="O221" s="2" t="s">
        <v>25</v>
      </c>
    </row>
    <row r="222" customFormat="false" ht="12.8" hidden="false" customHeight="false" outlineLevel="0" collapsed="false">
      <c r="A222" s="1" t="s">
        <v>608</v>
      </c>
      <c r="B222" s="10"/>
      <c r="F222" s="2" t="n">
        <v>1</v>
      </c>
      <c r="G222" s="2" t="s">
        <v>20</v>
      </c>
      <c r="H222" s="2" t="s">
        <v>21</v>
      </c>
      <c r="I222" s="2" t="s">
        <v>22</v>
      </c>
      <c r="L222" s="10"/>
      <c r="M222" s="1" t="str">
        <f aca="false">IFERROR(VLOOKUP(L222, suppliers!$A$1:$Z$1000, 2, 0), "Enter a valid uuid in the supplier_uuid column")</f>
        <v>Enter a valid uuid in the supplier_uuid column</v>
      </c>
      <c r="N222" s="5" t="n">
        <v>0.1</v>
      </c>
      <c r="O222" s="2" t="s">
        <v>25</v>
      </c>
    </row>
    <row r="223" customFormat="false" ht="12.8" hidden="false" customHeight="false" outlineLevel="0" collapsed="false">
      <c r="A223" s="1" t="s">
        <v>609</v>
      </c>
      <c r="B223" s="10"/>
      <c r="F223" s="2" t="n">
        <v>1</v>
      </c>
      <c r="G223" s="2" t="s">
        <v>20</v>
      </c>
      <c r="H223" s="2" t="s">
        <v>21</v>
      </c>
      <c r="I223" s="2" t="s">
        <v>22</v>
      </c>
      <c r="L223" s="10"/>
      <c r="M223" s="1" t="str">
        <f aca="false">IFERROR(VLOOKUP(L223, suppliers!$A$1:$Z$1000, 2, 0), "Enter a valid uuid in the supplier_uuid column")</f>
        <v>Enter a valid uuid in the supplier_uuid column</v>
      </c>
      <c r="N223" s="5" t="n">
        <v>0.1</v>
      </c>
      <c r="O223" s="2" t="s">
        <v>25</v>
      </c>
    </row>
    <row r="224" customFormat="false" ht="12.8" hidden="false" customHeight="false" outlineLevel="0" collapsed="false">
      <c r="A224" s="1" t="s">
        <v>610</v>
      </c>
      <c r="B224" s="10"/>
      <c r="F224" s="2" t="n">
        <v>1</v>
      </c>
      <c r="G224" s="2" t="s">
        <v>20</v>
      </c>
      <c r="H224" s="2" t="s">
        <v>21</v>
      </c>
      <c r="I224" s="2" t="s">
        <v>22</v>
      </c>
      <c r="L224" s="10"/>
      <c r="M224" s="1" t="str">
        <f aca="false">IFERROR(VLOOKUP(L224, suppliers!$A$1:$Z$1000, 2, 0), "Enter a valid uuid in the supplier_uuid column")</f>
        <v>Enter a valid uuid in the supplier_uuid column</v>
      </c>
      <c r="N224" s="5" t="n">
        <v>0.1</v>
      </c>
      <c r="O224" s="2" t="s">
        <v>25</v>
      </c>
    </row>
    <row r="225" customFormat="false" ht="12.8" hidden="false" customHeight="false" outlineLevel="0" collapsed="false">
      <c r="A225" s="1" t="s">
        <v>611</v>
      </c>
      <c r="B225" s="10"/>
      <c r="F225" s="2" t="n">
        <v>1</v>
      </c>
      <c r="G225" s="2" t="s">
        <v>20</v>
      </c>
      <c r="H225" s="2" t="s">
        <v>21</v>
      </c>
      <c r="I225" s="2" t="s">
        <v>22</v>
      </c>
      <c r="L225" s="10"/>
      <c r="M225" s="1" t="str">
        <f aca="false">IFERROR(VLOOKUP(L225, suppliers!$A$1:$Z$1000, 2, 0), "Enter a valid uuid in the supplier_uuid column")</f>
        <v>Enter a valid uuid in the supplier_uuid column</v>
      </c>
      <c r="N225" s="5" t="n">
        <v>0.1</v>
      </c>
      <c r="O225" s="2" t="s">
        <v>25</v>
      </c>
    </row>
    <row r="226" customFormat="false" ht="12.8" hidden="false" customHeight="false" outlineLevel="0" collapsed="false">
      <c r="A226" s="1" t="s">
        <v>612</v>
      </c>
      <c r="B226" s="10"/>
      <c r="F226" s="2" t="n">
        <v>1</v>
      </c>
      <c r="G226" s="2" t="s">
        <v>20</v>
      </c>
      <c r="H226" s="2" t="s">
        <v>21</v>
      </c>
      <c r="I226" s="2" t="s">
        <v>22</v>
      </c>
      <c r="L226" s="10"/>
      <c r="M226" s="1" t="str">
        <f aca="false">IFERROR(VLOOKUP(L226, suppliers!$A$1:$Z$1000, 2, 0), "Enter a valid uuid in the supplier_uuid column")</f>
        <v>Enter a valid uuid in the supplier_uuid column</v>
      </c>
      <c r="N226" s="5" t="n">
        <v>0.1</v>
      </c>
      <c r="O226" s="2" t="s">
        <v>25</v>
      </c>
    </row>
    <row r="227" customFormat="false" ht="12.8" hidden="false" customHeight="false" outlineLevel="0" collapsed="false">
      <c r="A227" s="1" t="s">
        <v>613</v>
      </c>
      <c r="B227" s="10"/>
      <c r="F227" s="2" t="n">
        <v>1</v>
      </c>
      <c r="G227" s="2" t="s">
        <v>20</v>
      </c>
      <c r="H227" s="2" t="s">
        <v>21</v>
      </c>
      <c r="I227" s="2" t="s">
        <v>22</v>
      </c>
      <c r="L227" s="10"/>
      <c r="M227" s="1" t="str">
        <f aca="false">IFERROR(VLOOKUP(L227, suppliers!$A$1:$Z$1000, 2, 0), "Enter a valid uuid in the supplier_uuid column")</f>
        <v>Enter a valid uuid in the supplier_uuid column</v>
      </c>
      <c r="N227" s="5" t="n">
        <v>0.1</v>
      </c>
      <c r="O227" s="2" t="s">
        <v>25</v>
      </c>
    </row>
    <row r="228" customFormat="false" ht="12.8" hidden="false" customHeight="false" outlineLevel="0" collapsed="false">
      <c r="A228" s="1" t="s">
        <v>614</v>
      </c>
      <c r="B228" s="10"/>
      <c r="F228" s="2" t="n">
        <v>1</v>
      </c>
      <c r="G228" s="2" t="s">
        <v>20</v>
      </c>
      <c r="H228" s="2" t="s">
        <v>21</v>
      </c>
      <c r="I228" s="2" t="s">
        <v>22</v>
      </c>
      <c r="L228" s="10"/>
      <c r="M228" s="1" t="str">
        <f aca="false">IFERROR(VLOOKUP(L228, suppliers!$A$1:$Z$1000, 2, 0), "Enter a valid uuid in the supplier_uuid column")</f>
        <v>Enter a valid uuid in the supplier_uuid column</v>
      </c>
      <c r="N228" s="5" t="n">
        <v>0.1</v>
      </c>
      <c r="O228" s="2" t="s">
        <v>25</v>
      </c>
    </row>
    <row r="229" customFormat="false" ht="12.8" hidden="false" customHeight="false" outlineLevel="0" collapsed="false">
      <c r="A229" s="1" t="s">
        <v>615</v>
      </c>
      <c r="B229" s="10"/>
      <c r="F229" s="2" t="n">
        <v>1</v>
      </c>
      <c r="G229" s="2" t="s">
        <v>20</v>
      </c>
      <c r="H229" s="2" t="s">
        <v>21</v>
      </c>
      <c r="I229" s="2" t="s">
        <v>22</v>
      </c>
      <c r="L229" s="10"/>
      <c r="M229" s="1" t="str">
        <f aca="false">IFERROR(VLOOKUP(L229, suppliers!$A$1:$Z$1000, 2, 0), "Enter a valid uuid in the supplier_uuid column")</f>
        <v>Enter a valid uuid in the supplier_uuid column</v>
      </c>
      <c r="N229" s="5" t="n">
        <v>0.1</v>
      </c>
      <c r="O229" s="2" t="s">
        <v>25</v>
      </c>
    </row>
    <row r="230" customFormat="false" ht="12.8" hidden="false" customHeight="false" outlineLevel="0" collapsed="false">
      <c r="A230" s="1" t="s">
        <v>616</v>
      </c>
      <c r="B230" s="10"/>
      <c r="F230" s="2" t="n">
        <v>1</v>
      </c>
      <c r="G230" s="2" t="s">
        <v>20</v>
      </c>
      <c r="H230" s="2" t="s">
        <v>21</v>
      </c>
      <c r="I230" s="2" t="s">
        <v>22</v>
      </c>
      <c r="L230" s="10"/>
      <c r="M230" s="1" t="str">
        <f aca="false">IFERROR(VLOOKUP(L230, suppliers!$A$1:$Z$1000, 2, 0), "Enter a valid uuid in the supplier_uuid column")</f>
        <v>Enter a valid uuid in the supplier_uuid column</v>
      </c>
      <c r="N230" s="5" t="n">
        <v>0.1</v>
      </c>
      <c r="O230" s="2" t="s">
        <v>25</v>
      </c>
    </row>
    <row r="231" customFormat="false" ht="12.8" hidden="false" customHeight="false" outlineLevel="0" collapsed="false">
      <c r="A231" s="1" t="s">
        <v>617</v>
      </c>
      <c r="B231" s="10"/>
      <c r="F231" s="2" t="n">
        <v>1</v>
      </c>
      <c r="G231" s="2" t="s">
        <v>20</v>
      </c>
      <c r="H231" s="2" t="s">
        <v>21</v>
      </c>
      <c r="I231" s="2" t="s">
        <v>22</v>
      </c>
      <c r="L231" s="10"/>
      <c r="M231" s="1" t="str">
        <f aca="false">IFERROR(VLOOKUP(L231, suppliers!$A$1:$Z$1000, 2, 0), "Enter a valid uuid in the supplier_uuid column")</f>
        <v>Enter a valid uuid in the supplier_uuid column</v>
      </c>
      <c r="N231" s="5" t="n">
        <v>0.1</v>
      </c>
      <c r="O231" s="2" t="s">
        <v>25</v>
      </c>
    </row>
    <row r="232" customFormat="false" ht="12.8" hidden="false" customHeight="false" outlineLevel="0" collapsed="false">
      <c r="A232" s="1" t="s">
        <v>618</v>
      </c>
      <c r="B232" s="10"/>
      <c r="F232" s="2" t="n">
        <v>1</v>
      </c>
      <c r="G232" s="2" t="s">
        <v>20</v>
      </c>
      <c r="H232" s="2" t="s">
        <v>21</v>
      </c>
      <c r="I232" s="2" t="s">
        <v>22</v>
      </c>
      <c r="L232" s="10"/>
      <c r="M232" s="1" t="str">
        <f aca="false">IFERROR(VLOOKUP(L232, suppliers!$A$1:$Z$1000, 2, 0), "Enter a valid uuid in the supplier_uuid column")</f>
        <v>Enter a valid uuid in the supplier_uuid column</v>
      </c>
      <c r="N232" s="5" t="n">
        <v>0.1</v>
      </c>
      <c r="O232" s="2" t="s">
        <v>25</v>
      </c>
    </row>
    <row r="233" customFormat="false" ht="12.8" hidden="false" customHeight="false" outlineLevel="0" collapsed="false">
      <c r="A233" s="1" t="s">
        <v>619</v>
      </c>
      <c r="B233" s="10"/>
      <c r="F233" s="2" t="n">
        <v>1</v>
      </c>
      <c r="G233" s="2" t="s">
        <v>20</v>
      </c>
      <c r="H233" s="2" t="s">
        <v>21</v>
      </c>
      <c r="I233" s="2" t="s">
        <v>22</v>
      </c>
      <c r="L233" s="10"/>
      <c r="M233" s="1" t="str">
        <f aca="false">IFERROR(VLOOKUP(L233, suppliers!$A$1:$Z$1000, 2, 0), "Enter a valid uuid in the supplier_uuid column")</f>
        <v>Enter a valid uuid in the supplier_uuid column</v>
      </c>
      <c r="N233" s="5" t="n">
        <v>0.1</v>
      </c>
      <c r="O233" s="2" t="s">
        <v>25</v>
      </c>
    </row>
    <row r="234" customFormat="false" ht="12.8" hidden="false" customHeight="false" outlineLevel="0" collapsed="false">
      <c r="A234" s="1" t="s">
        <v>620</v>
      </c>
      <c r="B234" s="10"/>
      <c r="F234" s="2" t="n">
        <v>1</v>
      </c>
      <c r="G234" s="2" t="s">
        <v>20</v>
      </c>
      <c r="H234" s="2" t="s">
        <v>21</v>
      </c>
      <c r="I234" s="2" t="s">
        <v>22</v>
      </c>
      <c r="L234" s="10"/>
      <c r="M234" s="1" t="str">
        <f aca="false">IFERROR(VLOOKUP(L234, suppliers!$A$1:$Z$1000, 2, 0), "Enter a valid uuid in the supplier_uuid column")</f>
        <v>Enter a valid uuid in the supplier_uuid column</v>
      </c>
      <c r="N234" s="5" t="n">
        <v>0.1</v>
      </c>
      <c r="O234" s="2" t="s">
        <v>25</v>
      </c>
    </row>
    <row r="235" customFormat="false" ht="12.8" hidden="false" customHeight="false" outlineLevel="0" collapsed="false">
      <c r="A235" s="1" t="s">
        <v>621</v>
      </c>
      <c r="B235" s="10"/>
      <c r="F235" s="2" t="n">
        <v>1</v>
      </c>
      <c r="G235" s="2" t="s">
        <v>20</v>
      </c>
      <c r="H235" s="2" t="s">
        <v>21</v>
      </c>
      <c r="I235" s="2" t="s">
        <v>22</v>
      </c>
      <c r="L235" s="10"/>
      <c r="M235" s="1" t="str">
        <f aca="false">IFERROR(VLOOKUP(L235, suppliers!$A$1:$Z$1000, 2, 0), "Enter a valid uuid in the supplier_uuid column")</f>
        <v>Enter a valid uuid in the supplier_uuid column</v>
      </c>
      <c r="N235" s="5" t="n">
        <v>0.1</v>
      </c>
      <c r="O235" s="2" t="s">
        <v>25</v>
      </c>
    </row>
    <row r="236" customFormat="false" ht="12.8" hidden="false" customHeight="false" outlineLevel="0" collapsed="false">
      <c r="A236" s="1" t="s">
        <v>622</v>
      </c>
      <c r="B236" s="10"/>
      <c r="F236" s="2" t="n">
        <v>1</v>
      </c>
      <c r="G236" s="2" t="s">
        <v>20</v>
      </c>
      <c r="H236" s="2" t="s">
        <v>21</v>
      </c>
      <c r="I236" s="2" t="s">
        <v>22</v>
      </c>
      <c r="L236" s="10"/>
      <c r="M236" s="1" t="str">
        <f aca="false">IFERROR(VLOOKUP(L236, suppliers!$A$1:$Z$1000, 2, 0), "Enter a valid uuid in the supplier_uuid column")</f>
        <v>Enter a valid uuid in the supplier_uuid column</v>
      </c>
      <c r="N236" s="5" t="n">
        <v>0.1</v>
      </c>
      <c r="O236" s="2" t="s">
        <v>25</v>
      </c>
    </row>
    <row r="237" customFormat="false" ht="12.8" hidden="false" customHeight="false" outlineLevel="0" collapsed="false">
      <c r="A237" s="1" t="s">
        <v>623</v>
      </c>
      <c r="B237" s="10"/>
      <c r="F237" s="2" t="n">
        <v>1</v>
      </c>
      <c r="G237" s="2" t="s">
        <v>20</v>
      </c>
      <c r="H237" s="2" t="s">
        <v>21</v>
      </c>
      <c r="I237" s="2" t="s">
        <v>22</v>
      </c>
      <c r="L237" s="10"/>
      <c r="M237" s="1" t="str">
        <f aca="false">IFERROR(VLOOKUP(L237, suppliers!$A$1:$Z$1000, 2, 0), "Enter a valid uuid in the supplier_uuid column")</f>
        <v>Enter a valid uuid in the supplier_uuid column</v>
      </c>
      <c r="N237" s="5" t="n">
        <v>0.1</v>
      </c>
      <c r="O237" s="2" t="s">
        <v>25</v>
      </c>
    </row>
    <row r="238" customFormat="false" ht="12.8" hidden="false" customHeight="false" outlineLevel="0" collapsed="false">
      <c r="A238" s="1" t="s">
        <v>624</v>
      </c>
      <c r="B238" s="10"/>
      <c r="F238" s="2" t="n">
        <v>1</v>
      </c>
      <c r="G238" s="2" t="s">
        <v>20</v>
      </c>
      <c r="H238" s="2" t="s">
        <v>21</v>
      </c>
      <c r="I238" s="2" t="s">
        <v>22</v>
      </c>
      <c r="L238" s="10"/>
      <c r="M238" s="1" t="str">
        <f aca="false">IFERROR(VLOOKUP(L238, suppliers!$A$1:$Z$1000, 2, 0), "Enter a valid uuid in the supplier_uuid column")</f>
        <v>Enter a valid uuid in the supplier_uuid column</v>
      </c>
      <c r="N238" s="5" t="n">
        <v>0.1</v>
      </c>
      <c r="O238" s="2" t="s">
        <v>25</v>
      </c>
    </row>
    <row r="239" customFormat="false" ht="12.8" hidden="false" customHeight="false" outlineLevel="0" collapsed="false">
      <c r="A239" s="1" t="s">
        <v>625</v>
      </c>
      <c r="B239" s="10"/>
      <c r="F239" s="2" t="n">
        <v>1</v>
      </c>
      <c r="G239" s="2" t="s">
        <v>20</v>
      </c>
      <c r="H239" s="2" t="s">
        <v>21</v>
      </c>
      <c r="I239" s="2" t="s">
        <v>22</v>
      </c>
      <c r="L239" s="10"/>
      <c r="M239" s="1" t="str">
        <f aca="false">IFERROR(VLOOKUP(L239, suppliers!$A$1:$Z$1000, 2, 0), "Enter a valid uuid in the supplier_uuid column")</f>
        <v>Enter a valid uuid in the supplier_uuid column</v>
      </c>
      <c r="N239" s="5" t="n">
        <v>0.1</v>
      </c>
      <c r="O239" s="2" t="s">
        <v>25</v>
      </c>
    </row>
    <row r="240" customFormat="false" ht="12.8" hidden="false" customHeight="false" outlineLevel="0" collapsed="false">
      <c r="A240" s="1" t="s">
        <v>626</v>
      </c>
      <c r="B240" s="10"/>
      <c r="F240" s="2" t="n">
        <v>1</v>
      </c>
      <c r="G240" s="2" t="s">
        <v>20</v>
      </c>
      <c r="H240" s="2" t="s">
        <v>21</v>
      </c>
      <c r="I240" s="2" t="s">
        <v>22</v>
      </c>
      <c r="L240" s="10"/>
      <c r="M240" s="1" t="str">
        <f aca="false">IFERROR(VLOOKUP(L240, suppliers!$A$1:$Z$1000, 2, 0), "Enter a valid uuid in the supplier_uuid column")</f>
        <v>Enter a valid uuid in the supplier_uuid column</v>
      </c>
      <c r="N240" s="5" t="n">
        <v>0.1</v>
      </c>
      <c r="O240" s="2" t="s">
        <v>25</v>
      </c>
    </row>
    <row r="241" customFormat="false" ht="12.8" hidden="false" customHeight="false" outlineLevel="0" collapsed="false">
      <c r="A241" s="1" t="s">
        <v>627</v>
      </c>
      <c r="B241" s="10"/>
      <c r="F241" s="2" t="n">
        <v>1</v>
      </c>
      <c r="G241" s="2" t="s">
        <v>20</v>
      </c>
      <c r="H241" s="2" t="s">
        <v>21</v>
      </c>
      <c r="I241" s="2" t="s">
        <v>22</v>
      </c>
      <c r="L241" s="10"/>
      <c r="M241" s="1" t="str">
        <f aca="false">IFERROR(VLOOKUP(L241, suppliers!$A$1:$Z$1000, 2, 0), "Enter a valid uuid in the supplier_uuid column")</f>
        <v>Enter a valid uuid in the supplier_uuid column</v>
      </c>
      <c r="N241" s="5" t="n">
        <v>0.1</v>
      </c>
      <c r="O241" s="2" t="s">
        <v>25</v>
      </c>
    </row>
    <row r="242" customFormat="false" ht="12.8" hidden="false" customHeight="false" outlineLevel="0" collapsed="false">
      <c r="A242" s="1" t="s">
        <v>628</v>
      </c>
      <c r="B242" s="10"/>
      <c r="F242" s="2" t="n">
        <v>1</v>
      </c>
      <c r="G242" s="2" t="s">
        <v>20</v>
      </c>
      <c r="H242" s="2" t="s">
        <v>21</v>
      </c>
      <c r="I242" s="2" t="s">
        <v>22</v>
      </c>
      <c r="L242" s="10"/>
      <c r="M242" s="1" t="str">
        <f aca="false">IFERROR(VLOOKUP(L242, suppliers!$A$1:$Z$1000, 2, 0), "Enter a valid uuid in the supplier_uuid column")</f>
        <v>Enter a valid uuid in the supplier_uuid column</v>
      </c>
      <c r="N242" s="5" t="n">
        <v>0.1</v>
      </c>
      <c r="O242" s="2" t="s">
        <v>25</v>
      </c>
    </row>
    <row r="243" customFormat="false" ht="12.8" hidden="false" customHeight="false" outlineLevel="0" collapsed="false">
      <c r="A243" s="1" t="s">
        <v>629</v>
      </c>
      <c r="B243" s="10"/>
      <c r="F243" s="2" t="n">
        <v>1</v>
      </c>
      <c r="G243" s="2" t="s">
        <v>20</v>
      </c>
      <c r="H243" s="2" t="s">
        <v>21</v>
      </c>
      <c r="I243" s="2" t="s">
        <v>22</v>
      </c>
      <c r="L243" s="10"/>
      <c r="M243" s="1" t="str">
        <f aca="false">IFERROR(VLOOKUP(L243, suppliers!$A$1:$Z$1000, 2, 0), "Enter a valid uuid in the supplier_uuid column")</f>
        <v>Enter a valid uuid in the supplier_uuid column</v>
      </c>
      <c r="N243" s="5" t="n">
        <v>0.1</v>
      </c>
      <c r="O243" s="2" t="s">
        <v>25</v>
      </c>
    </row>
    <row r="244" customFormat="false" ht="12.8" hidden="false" customHeight="false" outlineLevel="0" collapsed="false">
      <c r="A244" s="1" t="s">
        <v>630</v>
      </c>
      <c r="B244" s="10"/>
      <c r="F244" s="2" t="n">
        <v>1</v>
      </c>
      <c r="G244" s="2" t="s">
        <v>20</v>
      </c>
      <c r="H244" s="2" t="s">
        <v>21</v>
      </c>
      <c r="I244" s="2" t="s">
        <v>22</v>
      </c>
      <c r="L244" s="10"/>
      <c r="M244" s="1" t="str">
        <f aca="false">IFERROR(VLOOKUP(L244, suppliers!$A$1:$Z$1000, 2, 0), "Enter a valid uuid in the supplier_uuid column")</f>
        <v>Enter a valid uuid in the supplier_uuid column</v>
      </c>
      <c r="N244" s="5" t="n">
        <v>0.1</v>
      </c>
      <c r="O244" s="2" t="s">
        <v>25</v>
      </c>
    </row>
    <row r="245" customFormat="false" ht="12.8" hidden="false" customHeight="false" outlineLevel="0" collapsed="false">
      <c r="A245" s="1" t="s">
        <v>631</v>
      </c>
      <c r="B245" s="10"/>
      <c r="F245" s="2" t="n">
        <v>1</v>
      </c>
      <c r="G245" s="2" t="s">
        <v>20</v>
      </c>
      <c r="H245" s="2" t="s">
        <v>21</v>
      </c>
      <c r="I245" s="2" t="s">
        <v>22</v>
      </c>
      <c r="L245" s="10"/>
      <c r="M245" s="1" t="str">
        <f aca="false">IFERROR(VLOOKUP(L245, suppliers!$A$1:$Z$1000, 2, 0), "Enter a valid uuid in the supplier_uuid column")</f>
        <v>Enter a valid uuid in the supplier_uuid column</v>
      </c>
      <c r="N245" s="5" t="n">
        <v>0.1</v>
      </c>
      <c r="O245" s="2" t="s">
        <v>25</v>
      </c>
    </row>
    <row r="246" customFormat="false" ht="12.8" hidden="false" customHeight="false" outlineLevel="0" collapsed="false">
      <c r="A246" s="1" t="s">
        <v>632</v>
      </c>
      <c r="B246" s="10"/>
      <c r="F246" s="2" t="n">
        <v>1</v>
      </c>
      <c r="G246" s="2" t="s">
        <v>20</v>
      </c>
      <c r="H246" s="2" t="s">
        <v>21</v>
      </c>
      <c r="I246" s="2" t="s">
        <v>22</v>
      </c>
      <c r="L246" s="10"/>
      <c r="M246" s="1" t="str">
        <f aca="false">IFERROR(VLOOKUP(L246, suppliers!$A$1:$Z$1000, 2, 0), "Enter a valid uuid in the supplier_uuid column")</f>
        <v>Enter a valid uuid in the supplier_uuid column</v>
      </c>
      <c r="N246" s="5" t="n">
        <v>0.1</v>
      </c>
      <c r="O246" s="2" t="s">
        <v>25</v>
      </c>
    </row>
    <row r="247" customFormat="false" ht="12.8" hidden="false" customHeight="false" outlineLevel="0" collapsed="false">
      <c r="A247" s="1" t="s">
        <v>633</v>
      </c>
      <c r="B247" s="10"/>
      <c r="F247" s="2" t="n">
        <v>1</v>
      </c>
      <c r="G247" s="2" t="s">
        <v>20</v>
      </c>
      <c r="H247" s="2" t="s">
        <v>21</v>
      </c>
      <c r="I247" s="2" t="s">
        <v>22</v>
      </c>
      <c r="L247" s="10"/>
      <c r="M247" s="1" t="str">
        <f aca="false">IFERROR(VLOOKUP(L247, suppliers!$A$1:$Z$1000, 2, 0), "Enter a valid uuid in the supplier_uuid column")</f>
        <v>Enter a valid uuid in the supplier_uuid column</v>
      </c>
      <c r="N247" s="5" t="n">
        <v>0.1</v>
      </c>
      <c r="O247" s="2" t="s">
        <v>25</v>
      </c>
    </row>
    <row r="248" customFormat="false" ht="12.8" hidden="false" customHeight="false" outlineLevel="0" collapsed="false">
      <c r="A248" s="1" t="s">
        <v>634</v>
      </c>
      <c r="B248" s="10"/>
      <c r="F248" s="2" t="n">
        <v>1</v>
      </c>
      <c r="G248" s="2" t="s">
        <v>20</v>
      </c>
      <c r="H248" s="2" t="s">
        <v>21</v>
      </c>
      <c r="I248" s="2" t="s">
        <v>22</v>
      </c>
      <c r="L248" s="10"/>
      <c r="M248" s="1" t="str">
        <f aca="false">IFERROR(VLOOKUP(L248, suppliers!$A$1:$Z$1000, 2, 0), "Enter a valid uuid in the supplier_uuid column")</f>
        <v>Enter a valid uuid in the supplier_uuid column</v>
      </c>
      <c r="N248" s="5" t="n">
        <v>0.1</v>
      </c>
      <c r="O248" s="2" t="s">
        <v>25</v>
      </c>
    </row>
    <row r="249" customFormat="false" ht="12.8" hidden="false" customHeight="false" outlineLevel="0" collapsed="false">
      <c r="A249" s="1" t="s">
        <v>635</v>
      </c>
      <c r="B249" s="10"/>
      <c r="F249" s="2" t="n">
        <v>1</v>
      </c>
      <c r="G249" s="2" t="s">
        <v>20</v>
      </c>
      <c r="H249" s="2" t="s">
        <v>21</v>
      </c>
      <c r="I249" s="2" t="s">
        <v>22</v>
      </c>
      <c r="L249" s="10"/>
      <c r="M249" s="1" t="str">
        <f aca="false">IFERROR(VLOOKUP(L249, suppliers!$A$1:$Z$1000, 2, 0), "Enter a valid uuid in the supplier_uuid column")</f>
        <v>Enter a valid uuid in the supplier_uuid column</v>
      </c>
      <c r="N249" s="5" t="n">
        <v>0.1</v>
      </c>
      <c r="O249" s="2" t="s">
        <v>25</v>
      </c>
    </row>
    <row r="250" customFormat="false" ht="12.8" hidden="false" customHeight="false" outlineLevel="0" collapsed="false">
      <c r="A250" s="1" t="s">
        <v>636</v>
      </c>
      <c r="B250" s="10"/>
      <c r="F250" s="2" t="n">
        <v>1</v>
      </c>
      <c r="G250" s="2" t="s">
        <v>20</v>
      </c>
      <c r="H250" s="2" t="s">
        <v>21</v>
      </c>
      <c r="I250" s="2" t="s">
        <v>22</v>
      </c>
      <c r="L250" s="10"/>
      <c r="M250" s="1" t="str">
        <f aca="false">IFERROR(VLOOKUP(L250, suppliers!$A$1:$Z$1000, 2, 0), "Enter a valid uuid in the supplier_uuid column")</f>
        <v>Enter a valid uuid in the supplier_uuid column</v>
      </c>
      <c r="N250" s="5" t="n">
        <v>0.1</v>
      </c>
      <c r="O250" s="2" t="s">
        <v>25</v>
      </c>
    </row>
    <row r="251" customFormat="false" ht="12.8" hidden="false" customHeight="false" outlineLevel="0" collapsed="false">
      <c r="A251" s="1" t="s">
        <v>637</v>
      </c>
      <c r="B251" s="10"/>
      <c r="F251" s="2" t="n">
        <v>1</v>
      </c>
      <c r="G251" s="2" t="s">
        <v>20</v>
      </c>
      <c r="H251" s="2" t="s">
        <v>21</v>
      </c>
      <c r="I251" s="2" t="s">
        <v>22</v>
      </c>
      <c r="L251" s="10"/>
      <c r="M251" s="1" t="str">
        <f aca="false">IFERROR(VLOOKUP(L251, suppliers!$A$1:$Z$1000, 2, 0), "Enter a valid uuid in the supplier_uuid column")</f>
        <v>Enter a valid uuid in the supplier_uuid column</v>
      </c>
      <c r="N251" s="5" t="n">
        <v>0.1</v>
      </c>
      <c r="O251" s="2" t="s">
        <v>25</v>
      </c>
    </row>
    <row r="252" customFormat="false" ht="12.8" hidden="false" customHeight="false" outlineLevel="0" collapsed="false">
      <c r="A252" s="1" t="s">
        <v>638</v>
      </c>
      <c r="B252" s="10"/>
      <c r="F252" s="2" t="n">
        <v>1</v>
      </c>
      <c r="G252" s="2" t="s">
        <v>20</v>
      </c>
      <c r="H252" s="2" t="s">
        <v>21</v>
      </c>
      <c r="I252" s="2" t="s">
        <v>22</v>
      </c>
      <c r="L252" s="10"/>
      <c r="M252" s="1" t="str">
        <f aca="false">IFERROR(VLOOKUP(L252, suppliers!$A$1:$Z$1000, 2, 0), "Enter a valid uuid in the supplier_uuid column")</f>
        <v>Enter a valid uuid in the supplier_uuid column</v>
      </c>
      <c r="N252" s="5" t="n">
        <v>0.1</v>
      </c>
      <c r="O252" s="2" t="s">
        <v>25</v>
      </c>
    </row>
    <row r="253" customFormat="false" ht="12.8" hidden="false" customHeight="false" outlineLevel="0" collapsed="false">
      <c r="A253" s="1" t="s">
        <v>639</v>
      </c>
      <c r="B253" s="10"/>
      <c r="F253" s="2" t="n">
        <v>1</v>
      </c>
      <c r="G253" s="2" t="s">
        <v>20</v>
      </c>
      <c r="H253" s="2" t="s">
        <v>21</v>
      </c>
      <c r="I253" s="2" t="s">
        <v>22</v>
      </c>
      <c r="L253" s="10"/>
      <c r="M253" s="1" t="str">
        <f aca="false">IFERROR(VLOOKUP(L253, suppliers!$A$1:$Z$1000, 2, 0), "Enter a valid uuid in the supplier_uuid column")</f>
        <v>Enter a valid uuid in the supplier_uuid column</v>
      </c>
      <c r="N253" s="5" t="n">
        <v>0.1</v>
      </c>
      <c r="O253" s="2" t="s">
        <v>25</v>
      </c>
    </row>
    <row r="254" customFormat="false" ht="12.8" hidden="false" customHeight="false" outlineLevel="0" collapsed="false">
      <c r="A254" s="1" t="s">
        <v>640</v>
      </c>
      <c r="B254" s="10"/>
      <c r="F254" s="2" t="n">
        <v>1</v>
      </c>
      <c r="G254" s="2" t="s">
        <v>20</v>
      </c>
      <c r="H254" s="2" t="s">
        <v>21</v>
      </c>
      <c r="I254" s="2" t="s">
        <v>22</v>
      </c>
      <c r="L254" s="10"/>
      <c r="M254" s="1" t="str">
        <f aca="false">IFERROR(VLOOKUP(L254, suppliers!$A$1:$Z$1000, 2, 0), "Enter a valid uuid in the supplier_uuid column")</f>
        <v>Enter a valid uuid in the supplier_uuid column</v>
      </c>
      <c r="N254" s="5" t="n">
        <v>0.1</v>
      </c>
      <c r="O254" s="2" t="s">
        <v>25</v>
      </c>
    </row>
    <row r="255" customFormat="false" ht="12.8" hidden="false" customHeight="false" outlineLevel="0" collapsed="false">
      <c r="A255" s="1" t="s">
        <v>641</v>
      </c>
      <c r="B255" s="10"/>
      <c r="F255" s="2" t="n">
        <v>1</v>
      </c>
      <c r="G255" s="2" t="s">
        <v>20</v>
      </c>
      <c r="H255" s="2" t="s">
        <v>21</v>
      </c>
      <c r="I255" s="2" t="s">
        <v>22</v>
      </c>
      <c r="L255" s="10"/>
      <c r="M255" s="1" t="str">
        <f aca="false">IFERROR(VLOOKUP(L255, suppliers!$A$1:$Z$1000, 2, 0), "Enter a valid uuid in the supplier_uuid column")</f>
        <v>Enter a valid uuid in the supplier_uuid column</v>
      </c>
      <c r="N255" s="5" t="n">
        <v>0.1</v>
      </c>
      <c r="O255" s="2" t="s">
        <v>25</v>
      </c>
    </row>
    <row r="256" customFormat="false" ht="12.8" hidden="false" customHeight="false" outlineLevel="0" collapsed="false">
      <c r="A256" s="1" t="s">
        <v>642</v>
      </c>
      <c r="B256" s="10"/>
      <c r="F256" s="2" t="n">
        <v>1</v>
      </c>
      <c r="G256" s="2" t="s">
        <v>20</v>
      </c>
      <c r="H256" s="2" t="s">
        <v>21</v>
      </c>
      <c r="I256" s="2" t="s">
        <v>22</v>
      </c>
      <c r="L256" s="10"/>
      <c r="M256" s="1" t="str">
        <f aca="false">IFERROR(VLOOKUP(L256, suppliers!$A$1:$Z$1000, 2, 0), "Enter a valid uuid in the supplier_uuid column")</f>
        <v>Enter a valid uuid in the supplier_uuid column</v>
      </c>
      <c r="N256" s="5" t="n">
        <v>0.1</v>
      </c>
      <c r="O256" s="2" t="s">
        <v>25</v>
      </c>
    </row>
    <row r="257" customFormat="false" ht="12.8" hidden="false" customHeight="false" outlineLevel="0" collapsed="false">
      <c r="A257" s="1" t="s">
        <v>643</v>
      </c>
      <c r="B257" s="10"/>
      <c r="F257" s="2" t="n">
        <v>1</v>
      </c>
      <c r="G257" s="2" t="s">
        <v>20</v>
      </c>
      <c r="H257" s="2" t="s">
        <v>21</v>
      </c>
      <c r="I257" s="2" t="s">
        <v>22</v>
      </c>
      <c r="L257" s="10"/>
      <c r="M257" s="1" t="str">
        <f aca="false">IFERROR(VLOOKUP(L257, suppliers!$A$1:$Z$1000, 2, 0), "Enter a valid uuid in the supplier_uuid column")</f>
        <v>Enter a valid uuid in the supplier_uuid column</v>
      </c>
      <c r="N257" s="5" t="n">
        <v>0.1</v>
      </c>
      <c r="O257" s="2" t="s">
        <v>25</v>
      </c>
    </row>
    <row r="258" customFormat="false" ht="12.8" hidden="false" customHeight="false" outlineLevel="0" collapsed="false">
      <c r="A258" s="1" t="s">
        <v>644</v>
      </c>
      <c r="B258" s="10"/>
      <c r="F258" s="2" t="n">
        <v>1</v>
      </c>
      <c r="G258" s="2" t="s">
        <v>20</v>
      </c>
      <c r="H258" s="2" t="s">
        <v>21</v>
      </c>
      <c r="I258" s="2" t="s">
        <v>22</v>
      </c>
      <c r="L258" s="10"/>
      <c r="M258" s="1" t="str">
        <f aca="false">IFERROR(VLOOKUP(L258, suppliers!$A$1:$Z$1000, 2, 0), "Enter a valid uuid in the supplier_uuid column")</f>
        <v>Enter a valid uuid in the supplier_uuid column</v>
      </c>
      <c r="N258" s="5" t="n">
        <v>0.1</v>
      </c>
      <c r="O258" s="2" t="s">
        <v>25</v>
      </c>
    </row>
    <row r="259" customFormat="false" ht="12.8" hidden="false" customHeight="false" outlineLevel="0" collapsed="false">
      <c r="A259" s="1" t="s">
        <v>645</v>
      </c>
      <c r="B259" s="10"/>
      <c r="F259" s="2" t="n">
        <v>1</v>
      </c>
      <c r="G259" s="2" t="s">
        <v>20</v>
      </c>
      <c r="H259" s="2" t="s">
        <v>21</v>
      </c>
      <c r="I259" s="2" t="s">
        <v>22</v>
      </c>
      <c r="L259" s="10"/>
      <c r="M259" s="1" t="str">
        <f aca="false">IFERROR(VLOOKUP(L259, suppliers!$A$1:$Z$1000, 2, 0), "Enter a valid uuid in the supplier_uuid column")</f>
        <v>Enter a valid uuid in the supplier_uuid column</v>
      </c>
      <c r="N259" s="5" t="n">
        <v>0.1</v>
      </c>
      <c r="O259" s="2" t="s">
        <v>25</v>
      </c>
    </row>
    <row r="260" customFormat="false" ht="12.8" hidden="false" customHeight="false" outlineLevel="0" collapsed="false">
      <c r="A260" s="1" t="s">
        <v>646</v>
      </c>
      <c r="B260" s="10"/>
      <c r="F260" s="2" t="n">
        <v>1</v>
      </c>
      <c r="G260" s="2" t="s">
        <v>20</v>
      </c>
      <c r="H260" s="2" t="s">
        <v>21</v>
      </c>
      <c r="I260" s="2" t="s">
        <v>22</v>
      </c>
      <c r="L260" s="10"/>
      <c r="M260" s="1" t="str">
        <f aca="false">IFERROR(VLOOKUP(L260, suppliers!$A$1:$Z$1000, 2, 0), "Enter a valid uuid in the supplier_uuid column")</f>
        <v>Enter a valid uuid in the supplier_uuid column</v>
      </c>
      <c r="N260" s="5" t="n">
        <v>0.1</v>
      </c>
      <c r="O260" s="2" t="s">
        <v>25</v>
      </c>
    </row>
    <row r="261" customFormat="false" ht="12.8" hidden="false" customHeight="false" outlineLevel="0" collapsed="false">
      <c r="A261" s="1" t="s">
        <v>647</v>
      </c>
      <c r="B261" s="10"/>
      <c r="F261" s="2" t="n">
        <v>1</v>
      </c>
      <c r="G261" s="2" t="s">
        <v>20</v>
      </c>
      <c r="H261" s="2" t="s">
        <v>21</v>
      </c>
      <c r="I261" s="2" t="s">
        <v>22</v>
      </c>
      <c r="L261" s="10"/>
      <c r="M261" s="1" t="str">
        <f aca="false">IFERROR(VLOOKUP(L261, suppliers!$A$1:$Z$1000, 2, 0), "Enter a valid uuid in the supplier_uuid column")</f>
        <v>Enter a valid uuid in the supplier_uuid column</v>
      </c>
      <c r="N261" s="5" t="n">
        <v>0.1</v>
      </c>
      <c r="O261" s="2" t="s">
        <v>25</v>
      </c>
    </row>
    <row r="262" customFormat="false" ht="12.8" hidden="false" customHeight="false" outlineLevel="0" collapsed="false">
      <c r="A262" s="1" t="s">
        <v>648</v>
      </c>
      <c r="B262" s="10"/>
      <c r="F262" s="2" t="n">
        <v>1</v>
      </c>
      <c r="G262" s="2" t="s">
        <v>20</v>
      </c>
      <c r="H262" s="2" t="s">
        <v>21</v>
      </c>
      <c r="I262" s="2" t="s">
        <v>22</v>
      </c>
      <c r="L262" s="10"/>
      <c r="M262" s="1" t="str">
        <f aca="false">IFERROR(VLOOKUP(L262, suppliers!$A$1:$Z$1000, 2, 0), "Enter a valid uuid in the supplier_uuid column")</f>
        <v>Enter a valid uuid in the supplier_uuid column</v>
      </c>
      <c r="N262" s="5" t="n">
        <v>0.1</v>
      </c>
      <c r="O262" s="2" t="s">
        <v>25</v>
      </c>
    </row>
    <row r="263" customFormat="false" ht="12.8" hidden="false" customHeight="false" outlineLevel="0" collapsed="false">
      <c r="A263" s="1" t="s">
        <v>649</v>
      </c>
      <c r="B263" s="10"/>
      <c r="F263" s="2" t="n">
        <v>1</v>
      </c>
      <c r="G263" s="2" t="s">
        <v>20</v>
      </c>
      <c r="H263" s="2" t="s">
        <v>21</v>
      </c>
      <c r="I263" s="2" t="s">
        <v>22</v>
      </c>
      <c r="L263" s="10"/>
      <c r="M263" s="1" t="str">
        <f aca="false">IFERROR(VLOOKUP(L263, suppliers!$A$1:$Z$1000, 2, 0), "Enter a valid uuid in the supplier_uuid column")</f>
        <v>Enter a valid uuid in the supplier_uuid column</v>
      </c>
      <c r="N263" s="5" t="n">
        <v>0.1</v>
      </c>
      <c r="O263" s="2" t="s">
        <v>25</v>
      </c>
    </row>
    <row r="264" customFormat="false" ht="12.8" hidden="false" customHeight="false" outlineLevel="0" collapsed="false">
      <c r="A264" s="1" t="s">
        <v>650</v>
      </c>
      <c r="B264" s="10"/>
      <c r="F264" s="2" t="n">
        <v>1</v>
      </c>
      <c r="G264" s="2" t="s">
        <v>20</v>
      </c>
      <c r="H264" s="2" t="s">
        <v>21</v>
      </c>
      <c r="I264" s="2" t="s">
        <v>22</v>
      </c>
      <c r="L264" s="10"/>
      <c r="M264" s="1" t="str">
        <f aca="false">IFERROR(VLOOKUP(L264, suppliers!$A$1:$Z$1000, 2, 0), "Enter a valid uuid in the supplier_uuid column")</f>
        <v>Enter a valid uuid in the supplier_uuid column</v>
      </c>
      <c r="N264" s="5" t="n">
        <v>0.1</v>
      </c>
      <c r="O264" s="2" t="s">
        <v>25</v>
      </c>
    </row>
    <row r="265" customFormat="false" ht="12.8" hidden="false" customHeight="false" outlineLevel="0" collapsed="false">
      <c r="A265" s="1" t="s">
        <v>651</v>
      </c>
      <c r="B265" s="10"/>
      <c r="F265" s="2" t="n">
        <v>1</v>
      </c>
      <c r="G265" s="2" t="s">
        <v>20</v>
      </c>
      <c r="H265" s="2" t="s">
        <v>21</v>
      </c>
      <c r="I265" s="2" t="s">
        <v>22</v>
      </c>
      <c r="L265" s="10"/>
      <c r="M265" s="1" t="str">
        <f aca="false">IFERROR(VLOOKUP(L265, suppliers!$A$1:$Z$1000, 2, 0), "Enter a valid uuid in the supplier_uuid column")</f>
        <v>Enter a valid uuid in the supplier_uuid column</v>
      </c>
      <c r="N265" s="5" t="n">
        <v>0.1</v>
      </c>
      <c r="O265" s="2" t="s">
        <v>25</v>
      </c>
    </row>
    <row r="266" customFormat="false" ht="12.8" hidden="false" customHeight="false" outlineLevel="0" collapsed="false">
      <c r="A266" s="1" t="s">
        <v>652</v>
      </c>
      <c r="B266" s="10"/>
      <c r="F266" s="2" t="n">
        <v>1</v>
      </c>
      <c r="G266" s="2" t="s">
        <v>20</v>
      </c>
      <c r="H266" s="2" t="s">
        <v>21</v>
      </c>
      <c r="I266" s="2" t="s">
        <v>22</v>
      </c>
      <c r="L266" s="10"/>
      <c r="M266" s="1" t="str">
        <f aca="false">IFERROR(VLOOKUP(L266, suppliers!$A$1:$Z$1000, 2, 0), "Enter a valid uuid in the supplier_uuid column")</f>
        <v>Enter a valid uuid in the supplier_uuid column</v>
      </c>
      <c r="N266" s="5" t="n">
        <v>0.1</v>
      </c>
      <c r="O266" s="2" t="s">
        <v>25</v>
      </c>
    </row>
    <row r="267" customFormat="false" ht="12.8" hidden="false" customHeight="false" outlineLevel="0" collapsed="false">
      <c r="A267" s="1" t="s">
        <v>653</v>
      </c>
      <c r="B267" s="10"/>
      <c r="F267" s="2" t="n">
        <v>1</v>
      </c>
      <c r="G267" s="2" t="s">
        <v>20</v>
      </c>
      <c r="H267" s="2" t="s">
        <v>21</v>
      </c>
      <c r="I267" s="2" t="s">
        <v>22</v>
      </c>
      <c r="L267" s="10"/>
      <c r="M267" s="1" t="str">
        <f aca="false">IFERROR(VLOOKUP(L267, suppliers!$A$1:$Z$1000, 2, 0), "Enter a valid uuid in the supplier_uuid column")</f>
        <v>Enter a valid uuid in the supplier_uuid column</v>
      </c>
      <c r="N267" s="5" t="n">
        <v>0.1</v>
      </c>
      <c r="O267" s="2" t="s">
        <v>25</v>
      </c>
    </row>
    <row r="268" customFormat="false" ht="12.8" hidden="false" customHeight="false" outlineLevel="0" collapsed="false">
      <c r="A268" s="1" t="s">
        <v>654</v>
      </c>
      <c r="B268" s="10"/>
      <c r="F268" s="2" t="n">
        <v>1</v>
      </c>
      <c r="G268" s="2" t="s">
        <v>20</v>
      </c>
      <c r="H268" s="2" t="s">
        <v>21</v>
      </c>
      <c r="I268" s="2" t="s">
        <v>22</v>
      </c>
      <c r="L268" s="10"/>
      <c r="M268" s="1" t="str">
        <f aca="false">IFERROR(VLOOKUP(L268, suppliers!$A$1:$Z$1000, 2, 0), "Enter a valid uuid in the supplier_uuid column")</f>
        <v>Enter a valid uuid in the supplier_uuid column</v>
      </c>
      <c r="N268" s="5" t="n">
        <v>0.1</v>
      </c>
      <c r="O268" s="2" t="s">
        <v>25</v>
      </c>
    </row>
    <row r="269" customFormat="false" ht="12.8" hidden="false" customHeight="false" outlineLevel="0" collapsed="false">
      <c r="A269" s="1" t="s">
        <v>655</v>
      </c>
      <c r="B269" s="10"/>
      <c r="F269" s="2" t="n">
        <v>1</v>
      </c>
      <c r="G269" s="2" t="s">
        <v>20</v>
      </c>
      <c r="H269" s="2" t="s">
        <v>21</v>
      </c>
      <c r="I269" s="2" t="s">
        <v>22</v>
      </c>
      <c r="L269" s="10"/>
      <c r="M269" s="1" t="str">
        <f aca="false">IFERROR(VLOOKUP(L269, suppliers!$A$1:$Z$1000, 2, 0), "Enter a valid uuid in the supplier_uuid column")</f>
        <v>Enter a valid uuid in the supplier_uuid column</v>
      </c>
      <c r="N269" s="5" t="n">
        <v>0.1</v>
      </c>
      <c r="O269" s="2" t="s">
        <v>25</v>
      </c>
    </row>
    <row r="270" customFormat="false" ht="12.8" hidden="false" customHeight="false" outlineLevel="0" collapsed="false">
      <c r="A270" s="1" t="s">
        <v>656</v>
      </c>
      <c r="B270" s="10"/>
      <c r="F270" s="2" t="n">
        <v>1</v>
      </c>
      <c r="G270" s="2" t="s">
        <v>20</v>
      </c>
      <c r="H270" s="2" t="s">
        <v>21</v>
      </c>
      <c r="I270" s="2" t="s">
        <v>22</v>
      </c>
      <c r="L270" s="10"/>
      <c r="M270" s="1" t="str">
        <f aca="false">IFERROR(VLOOKUP(L270, suppliers!$A$1:$Z$1000, 2, 0), "Enter a valid uuid in the supplier_uuid column")</f>
        <v>Enter a valid uuid in the supplier_uuid column</v>
      </c>
      <c r="N270" s="5" t="n">
        <v>0.1</v>
      </c>
      <c r="O270" s="2" t="s">
        <v>25</v>
      </c>
    </row>
    <row r="271" customFormat="false" ht="12.8" hidden="false" customHeight="false" outlineLevel="0" collapsed="false">
      <c r="A271" s="1" t="s">
        <v>657</v>
      </c>
      <c r="B271" s="10"/>
      <c r="F271" s="2" t="n">
        <v>1</v>
      </c>
      <c r="G271" s="2" t="s">
        <v>20</v>
      </c>
      <c r="H271" s="2" t="s">
        <v>21</v>
      </c>
      <c r="I271" s="2" t="s">
        <v>22</v>
      </c>
      <c r="L271" s="10"/>
      <c r="M271" s="1" t="str">
        <f aca="false">IFERROR(VLOOKUP(L271, suppliers!$A$1:$Z$1000, 2, 0), "Enter a valid uuid in the supplier_uuid column")</f>
        <v>Enter a valid uuid in the supplier_uuid column</v>
      </c>
      <c r="N271" s="5" t="n">
        <v>0.1</v>
      </c>
      <c r="O271" s="2" t="s">
        <v>25</v>
      </c>
    </row>
    <row r="272" customFormat="false" ht="12.8" hidden="false" customHeight="false" outlineLevel="0" collapsed="false">
      <c r="A272" s="1" t="s">
        <v>658</v>
      </c>
      <c r="B272" s="10"/>
      <c r="F272" s="2" t="n">
        <v>1</v>
      </c>
      <c r="G272" s="2" t="s">
        <v>20</v>
      </c>
      <c r="H272" s="2" t="s">
        <v>21</v>
      </c>
      <c r="I272" s="2" t="s">
        <v>22</v>
      </c>
      <c r="L272" s="10"/>
      <c r="M272" s="1" t="str">
        <f aca="false">IFERROR(VLOOKUP(L272, suppliers!$A$1:$Z$1000, 2, 0), "Enter a valid uuid in the supplier_uuid column")</f>
        <v>Enter a valid uuid in the supplier_uuid column</v>
      </c>
      <c r="N272" s="5" t="n">
        <v>0.1</v>
      </c>
      <c r="O272" s="2" t="s">
        <v>25</v>
      </c>
    </row>
    <row r="273" customFormat="false" ht="12.8" hidden="false" customHeight="false" outlineLevel="0" collapsed="false">
      <c r="A273" s="1" t="s">
        <v>659</v>
      </c>
      <c r="B273" s="10"/>
      <c r="F273" s="2" t="n">
        <v>1</v>
      </c>
      <c r="G273" s="2" t="s">
        <v>20</v>
      </c>
      <c r="H273" s="2" t="s">
        <v>21</v>
      </c>
      <c r="I273" s="2" t="s">
        <v>22</v>
      </c>
      <c r="L273" s="10"/>
      <c r="M273" s="1" t="str">
        <f aca="false">IFERROR(VLOOKUP(L273, suppliers!$A$1:$Z$1000, 2, 0), "Enter a valid uuid in the supplier_uuid column")</f>
        <v>Enter a valid uuid in the supplier_uuid column</v>
      </c>
      <c r="N273" s="5" t="n">
        <v>0.1</v>
      </c>
      <c r="O273" s="2" t="s">
        <v>25</v>
      </c>
    </row>
    <row r="274" customFormat="false" ht="12.8" hidden="false" customHeight="false" outlineLevel="0" collapsed="false">
      <c r="A274" s="1" t="s">
        <v>660</v>
      </c>
      <c r="B274" s="10"/>
      <c r="F274" s="2" t="n">
        <v>1</v>
      </c>
      <c r="G274" s="2" t="s">
        <v>20</v>
      </c>
      <c r="H274" s="2" t="s">
        <v>21</v>
      </c>
      <c r="I274" s="2" t="s">
        <v>22</v>
      </c>
      <c r="L274" s="10"/>
      <c r="M274" s="1" t="str">
        <f aca="false">IFERROR(VLOOKUP(L274, suppliers!$A$1:$Z$1000, 2, 0), "Enter a valid uuid in the supplier_uuid column")</f>
        <v>Enter a valid uuid in the supplier_uuid column</v>
      </c>
      <c r="N274" s="5" t="n">
        <v>0.1</v>
      </c>
      <c r="O274" s="2" t="s">
        <v>25</v>
      </c>
    </row>
    <row r="275" customFormat="false" ht="12.8" hidden="false" customHeight="false" outlineLevel="0" collapsed="false">
      <c r="A275" s="1" t="s">
        <v>661</v>
      </c>
      <c r="B275" s="10"/>
      <c r="F275" s="2" t="n">
        <v>1</v>
      </c>
      <c r="G275" s="2" t="s">
        <v>20</v>
      </c>
      <c r="H275" s="2" t="s">
        <v>21</v>
      </c>
      <c r="I275" s="2" t="s">
        <v>22</v>
      </c>
      <c r="L275" s="10"/>
      <c r="M275" s="1" t="str">
        <f aca="false">IFERROR(VLOOKUP(L275, suppliers!$A$1:$Z$1000, 2, 0), "Enter a valid uuid in the supplier_uuid column")</f>
        <v>Enter a valid uuid in the supplier_uuid column</v>
      </c>
      <c r="N275" s="5" t="n">
        <v>0.1</v>
      </c>
      <c r="O275" s="2" t="s">
        <v>25</v>
      </c>
    </row>
    <row r="276" customFormat="false" ht="12.8" hidden="false" customHeight="false" outlineLevel="0" collapsed="false">
      <c r="A276" s="1" t="s">
        <v>662</v>
      </c>
      <c r="B276" s="10"/>
      <c r="F276" s="2" t="n">
        <v>1</v>
      </c>
      <c r="G276" s="2" t="s">
        <v>20</v>
      </c>
      <c r="H276" s="2" t="s">
        <v>21</v>
      </c>
      <c r="I276" s="2" t="s">
        <v>22</v>
      </c>
      <c r="L276" s="10"/>
      <c r="M276" s="1" t="str">
        <f aca="false">IFERROR(VLOOKUP(L276, suppliers!$A$1:$Z$1000, 2, 0), "Enter a valid uuid in the supplier_uuid column")</f>
        <v>Enter a valid uuid in the supplier_uuid column</v>
      </c>
      <c r="N276" s="5" t="n">
        <v>0.1</v>
      </c>
      <c r="O276" s="2" t="s">
        <v>25</v>
      </c>
    </row>
    <row r="277" customFormat="false" ht="12.8" hidden="false" customHeight="false" outlineLevel="0" collapsed="false">
      <c r="A277" s="1" t="s">
        <v>663</v>
      </c>
      <c r="B277" s="10"/>
      <c r="F277" s="2" t="n">
        <v>1</v>
      </c>
      <c r="G277" s="2" t="s">
        <v>20</v>
      </c>
      <c r="H277" s="2" t="s">
        <v>21</v>
      </c>
      <c r="I277" s="2" t="s">
        <v>22</v>
      </c>
      <c r="L277" s="10"/>
      <c r="M277" s="1" t="str">
        <f aca="false">IFERROR(VLOOKUP(L277, suppliers!$A$1:$Z$1000, 2, 0), "Enter a valid uuid in the supplier_uuid column")</f>
        <v>Enter a valid uuid in the supplier_uuid column</v>
      </c>
      <c r="N277" s="5" t="n">
        <v>0.1</v>
      </c>
      <c r="O277" s="2" t="s">
        <v>25</v>
      </c>
    </row>
    <row r="278" customFormat="false" ht="12.8" hidden="false" customHeight="false" outlineLevel="0" collapsed="false">
      <c r="A278" s="1" t="s">
        <v>664</v>
      </c>
      <c r="B278" s="10"/>
      <c r="F278" s="2" t="n">
        <v>1</v>
      </c>
      <c r="G278" s="2" t="s">
        <v>20</v>
      </c>
      <c r="H278" s="2" t="s">
        <v>21</v>
      </c>
      <c r="I278" s="2" t="s">
        <v>22</v>
      </c>
      <c r="L278" s="10"/>
      <c r="M278" s="1" t="str">
        <f aca="false">IFERROR(VLOOKUP(L278, suppliers!$A$1:$Z$1000, 2, 0), "Enter a valid uuid in the supplier_uuid column")</f>
        <v>Enter a valid uuid in the supplier_uuid column</v>
      </c>
      <c r="N278" s="5" t="n">
        <v>0.1</v>
      </c>
      <c r="O278" s="2" t="s">
        <v>25</v>
      </c>
    </row>
    <row r="279" customFormat="false" ht="12.8" hidden="false" customHeight="false" outlineLevel="0" collapsed="false">
      <c r="A279" s="1" t="s">
        <v>665</v>
      </c>
      <c r="B279" s="10"/>
      <c r="F279" s="2" t="n">
        <v>1</v>
      </c>
      <c r="G279" s="2" t="s">
        <v>20</v>
      </c>
      <c r="H279" s="2" t="s">
        <v>21</v>
      </c>
      <c r="I279" s="2" t="s">
        <v>22</v>
      </c>
      <c r="L279" s="10"/>
      <c r="M279" s="1" t="str">
        <f aca="false">IFERROR(VLOOKUP(L279, suppliers!$A$1:$Z$1000, 2, 0), "Enter a valid uuid in the supplier_uuid column")</f>
        <v>Enter a valid uuid in the supplier_uuid column</v>
      </c>
      <c r="N279" s="5" t="n">
        <v>0.1</v>
      </c>
      <c r="O279" s="2" t="s">
        <v>25</v>
      </c>
    </row>
    <row r="280" customFormat="false" ht="12.8" hidden="false" customHeight="false" outlineLevel="0" collapsed="false">
      <c r="A280" s="1" t="s">
        <v>666</v>
      </c>
      <c r="B280" s="10"/>
      <c r="F280" s="2" t="n">
        <v>1</v>
      </c>
      <c r="G280" s="2" t="s">
        <v>20</v>
      </c>
      <c r="H280" s="2" t="s">
        <v>21</v>
      </c>
      <c r="I280" s="2" t="s">
        <v>22</v>
      </c>
      <c r="L280" s="10"/>
      <c r="M280" s="1" t="str">
        <f aca="false">IFERROR(VLOOKUP(L280, suppliers!$A$1:$Z$1000, 2, 0), "Enter a valid uuid in the supplier_uuid column")</f>
        <v>Enter a valid uuid in the supplier_uuid column</v>
      </c>
      <c r="N280" s="5" t="n">
        <v>0.1</v>
      </c>
      <c r="O280" s="2" t="s">
        <v>25</v>
      </c>
    </row>
    <row r="281" customFormat="false" ht="12.8" hidden="false" customHeight="false" outlineLevel="0" collapsed="false">
      <c r="A281" s="1" t="s">
        <v>667</v>
      </c>
      <c r="B281" s="10"/>
      <c r="F281" s="2" t="n">
        <v>1</v>
      </c>
      <c r="G281" s="2" t="s">
        <v>20</v>
      </c>
      <c r="H281" s="2" t="s">
        <v>21</v>
      </c>
      <c r="I281" s="2" t="s">
        <v>22</v>
      </c>
      <c r="L281" s="10"/>
      <c r="M281" s="1" t="str">
        <f aca="false">IFERROR(VLOOKUP(L281, suppliers!$A$1:$Z$1000, 2, 0), "Enter a valid uuid in the supplier_uuid column")</f>
        <v>Enter a valid uuid in the supplier_uuid column</v>
      </c>
      <c r="N281" s="5" t="n">
        <v>0.1</v>
      </c>
      <c r="O281" s="2" t="s">
        <v>25</v>
      </c>
    </row>
    <row r="282" customFormat="false" ht="12.8" hidden="false" customHeight="false" outlineLevel="0" collapsed="false">
      <c r="A282" s="1" t="s">
        <v>668</v>
      </c>
      <c r="B282" s="10"/>
      <c r="F282" s="2" t="n">
        <v>1</v>
      </c>
      <c r="G282" s="2" t="s">
        <v>20</v>
      </c>
      <c r="H282" s="2" t="s">
        <v>21</v>
      </c>
      <c r="I282" s="2" t="s">
        <v>22</v>
      </c>
      <c r="L282" s="10"/>
      <c r="M282" s="1" t="str">
        <f aca="false">IFERROR(VLOOKUP(L282, suppliers!$A$1:$Z$1000, 2, 0), "Enter a valid uuid in the supplier_uuid column")</f>
        <v>Enter a valid uuid in the supplier_uuid column</v>
      </c>
      <c r="N282" s="5" t="n">
        <v>0.1</v>
      </c>
      <c r="O282" s="2" t="s">
        <v>25</v>
      </c>
    </row>
    <row r="283" customFormat="false" ht="12.8" hidden="false" customHeight="false" outlineLevel="0" collapsed="false">
      <c r="A283" s="1" t="s">
        <v>669</v>
      </c>
      <c r="B283" s="10"/>
      <c r="F283" s="2" t="n">
        <v>1</v>
      </c>
      <c r="G283" s="2" t="s">
        <v>20</v>
      </c>
      <c r="H283" s="2" t="s">
        <v>21</v>
      </c>
      <c r="I283" s="2" t="s">
        <v>22</v>
      </c>
      <c r="L283" s="10"/>
      <c r="M283" s="1" t="str">
        <f aca="false">IFERROR(VLOOKUP(L283, suppliers!$A$1:$Z$1000, 2, 0), "Enter a valid uuid in the supplier_uuid column")</f>
        <v>Enter a valid uuid in the supplier_uuid column</v>
      </c>
      <c r="N283" s="5" t="n">
        <v>0.1</v>
      </c>
      <c r="O283" s="2" t="s">
        <v>25</v>
      </c>
    </row>
    <row r="284" customFormat="false" ht="12.8" hidden="false" customHeight="false" outlineLevel="0" collapsed="false">
      <c r="A284" s="1" t="s">
        <v>670</v>
      </c>
      <c r="B284" s="10"/>
      <c r="F284" s="2" t="n">
        <v>1</v>
      </c>
      <c r="G284" s="2" t="s">
        <v>20</v>
      </c>
      <c r="H284" s="2" t="s">
        <v>21</v>
      </c>
      <c r="I284" s="2" t="s">
        <v>22</v>
      </c>
      <c r="L284" s="10"/>
      <c r="M284" s="1" t="str">
        <f aca="false">IFERROR(VLOOKUP(L284, suppliers!$A$1:$Z$1000, 2, 0), "Enter a valid uuid in the supplier_uuid column")</f>
        <v>Enter a valid uuid in the supplier_uuid column</v>
      </c>
      <c r="N284" s="5" t="n">
        <v>0.1</v>
      </c>
      <c r="O284" s="2" t="s">
        <v>25</v>
      </c>
    </row>
    <row r="285" customFormat="false" ht="12.8" hidden="false" customHeight="false" outlineLevel="0" collapsed="false">
      <c r="A285" s="1" t="s">
        <v>671</v>
      </c>
      <c r="B285" s="10"/>
      <c r="F285" s="2" t="n">
        <v>1</v>
      </c>
      <c r="G285" s="2" t="s">
        <v>20</v>
      </c>
      <c r="H285" s="2" t="s">
        <v>21</v>
      </c>
      <c r="I285" s="2" t="s">
        <v>22</v>
      </c>
      <c r="L285" s="10"/>
      <c r="M285" s="1" t="str">
        <f aca="false">IFERROR(VLOOKUP(L285, suppliers!$A$1:$Z$1000, 2, 0), "Enter a valid uuid in the supplier_uuid column")</f>
        <v>Enter a valid uuid in the supplier_uuid column</v>
      </c>
      <c r="N285" s="5" t="n">
        <v>0.1</v>
      </c>
      <c r="O285" s="2" t="s">
        <v>25</v>
      </c>
    </row>
    <row r="286" customFormat="false" ht="12.8" hidden="false" customHeight="false" outlineLevel="0" collapsed="false">
      <c r="A286" s="1" t="s">
        <v>672</v>
      </c>
      <c r="B286" s="10"/>
      <c r="F286" s="2" t="n">
        <v>1</v>
      </c>
      <c r="G286" s="2" t="s">
        <v>20</v>
      </c>
      <c r="H286" s="2" t="s">
        <v>21</v>
      </c>
      <c r="I286" s="2" t="s">
        <v>22</v>
      </c>
      <c r="L286" s="10"/>
      <c r="M286" s="1" t="str">
        <f aca="false">IFERROR(VLOOKUP(L286, suppliers!$A$1:$Z$1000, 2, 0), "Enter a valid uuid in the supplier_uuid column")</f>
        <v>Enter a valid uuid in the supplier_uuid column</v>
      </c>
      <c r="N286" s="5" t="n">
        <v>0.1</v>
      </c>
      <c r="O286" s="2" t="s">
        <v>25</v>
      </c>
    </row>
    <row r="287" customFormat="false" ht="12.8" hidden="false" customHeight="false" outlineLevel="0" collapsed="false">
      <c r="A287" s="1" t="s">
        <v>673</v>
      </c>
      <c r="B287" s="10"/>
      <c r="F287" s="2" t="n">
        <v>1</v>
      </c>
      <c r="G287" s="2" t="s">
        <v>20</v>
      </c>
      <c r="H287" s="2" t="s">
        <v>21</v>
      </c>
      <c r="I287" s="2" t="s">
        <v>22</v>
      </c>
      <c r="L287" s="10"/>
      <c r="M287" s="1" t="str">
        <f aca="false">IFERROR(VLOOKUP(L287, suppliers!$A$1:$Z$1000, 2, 0), "Enter a valid uuid in the supplier_uuid column")</f>
        <v>Enter a valid uuid in the supplier_uuid column</v>
      </c>
      <c r="N287" s="5" t="n">
        <v>0.1</v>
      </c>
      <c r="O287" s="2" t="s">
        <v>25</v>
      </c>
    </row>
    <row r="288" customFormat="false" ht="12.8" hidden="false" customHeight="false" outlineLevel="0" collapsed="false">
      <c r="A288" s="1" t="s">
        <v>674</v>
      </c>
      <c r="B288" s="10"/>
      <c r="F288" s="2" t="n">
        <v>1</v>
      </c>
      <c r="G288" s="2" t="s">
        <v>20</v>
      </c>
      <c r="H288" s="2" t="s">
        <v>21</v>
      </c>
      <c r="I288" s="2" t="s">
        <v>22</v>
      </c>
      <c r="L288" s="10"/>
      <c r="M288" s="1" t="str">
        <f aca="false">IFERROR(VLOOKUP(L288, suppliers!$A$1:$Z$1000, 2, 0), "Enter a valid uuid in the supplier_uuid column")</f>
        <v>Enter a valid uuid in the supplier_uuid column</v>
      </c>
      <c r="N288" s="5" t="n">
        <v>0.1</v>
      </c>
      <c r="O288" s="2" t="s">
        <v>25</v>
      </c>
    </row>
    <row r="289" customFormat="false" ht="12.8" hidden="false" customHeight="false" outlineLevel="0" collapsed="false">
      <c r="A289" s="1" t="s">
        <v>675</v>
      </c>
      <c r="B289" s="10"/>
      <c r="F289" s="2" t="n">
        <v>1</v>
      </c>
      <c r="G289" s="2" t="s">
        <v>20</v>
      </c>
      <c r="H289" s="2" t="s">
        <v>21</v>
      </c>
      <c r="I289" s="2" t="s">
        <v>22</v>
      </c>
      <c r="L289" s="10"/>
      <c r="M289" s="1" t="str">
        <f aca="false">IFERROR(VLOOKUP(L289, suppliers!$A$1:$Z$1000, 2, 0), "Enter a valid uuid in the supplier_uuid column")</f>
        <v>Enter a valid uuid in the supplier_uuid column</v>
      </c>
      <c r="N289" s="5" t="n">
        <v>0.1</v>
      </c>
      <c r="O289" s="2" t="s">
        <v>25</v>
      </c>
    </row>
    <row r="290" customFormat="false" ht="12.8" hidden="false" customHeight="false" outlineLevel="0" collapsed="false">
      <c r="A290" s="1" t="s">
        <v>676</v>
      </c>
      <c r="B290" s="10"/>
      <c r="F290" s="2" t="n">
        <v>1</v>
      </c>
      <c r="G290" s="2" t="s">
        <v>20</v>
      </c>
      <c r="H290" s="2" t="s">
        <v>21</v>
      </c>
      <c r="I290" s="2" t="s">
        <v>22</v>
      </c>
      <c r="L290" s="10"/>
      <c r="M290" s="1" t="str">
        <f aca="false">IFERROR(VLOOKUP(L290, suppliers!$A$1:$Z$1000, 2, 0), "Enter a valid uuid in the supplier_uuid column")</f>
        <v>Enter a valid uuid in the supplier_uuid column</v>
      </c>
      <c r="N290" s="5" t="n">
        <v>0.1</v>
      </c>
      <c r="O290" s="2" t="s">
        <v>25</v>
      </c>
    </row>
    <row r="291" customFormat="false" ht="12.8" hidden="false" customHeight="false" outlineLevel="0" collapsed="false">
      <c r="A291" s="1" t="s">
        <v>677</v>
      </c>
      <c r="B291" s="10"/>
      <c r="F291" s="2" t="n">
        <v>1</v>
      </c>
      <c r="G291" s="2" t="s">
        <v>20</v>
      </c>
      <c r="H291" s="2" t="s">
        <v>21</v>
      </c>
      <c r="I291" s="2" t="s">
        <v>22</v>
      </c>
      <c r="L291" s="10"/>
      <c r="M291" s="1" t="str">
        <f aca="false">IFERROR(VLOOKUP(L291, suppliers!$A$1:$Z$1000, 2, 0), "Enter a valid uuid in the supplier_uuid column")</f>
        <v>Enter a valid uuid in the supplier_uuid column</v>
      </c>
      <c r="N291" s="5" t="n">
        <v>0.1</v>
      </c>
      <c r="O291" s="2" t="s">
        <v>25</v>
      </c>
    </row>
    <row r="292" customFormat="false" ht="12.8" hidden="false" customHeight="false" outlineLevel="0" collapsed="false">
      <c r="A292" s="1" t="s">
        <v>678</v>
      </c>
      <c r="B292" s="10"/>
      <c r="F292" s="2" t="n">
        <v>1</v>
      </c>
      <c r="G292" s="2" t="s">
        <v>20</v>
      </c>
      <c r="H292" s="2" t="s">
        <v>21</v>
      </c>
      <c r="I292" s="2" t="s">
        <v>22</v>
      </c>
      <c r="L292" s="10"/>
      <c r="M292" s="1" t="str">
        <f aca="false">IFERROR(VLOOKUP(L292, suppliers!$A$1:$Z$1000, 2, 0), "Enter a valid uuid in the supplier_uuid column")</f>
        <v>Enter a valid uuid in the supplier_uuid column</v>
      </c>
      <c r="N292" s="5" t="n">
        <v>0.1</v>
      </c>
      <c r="O292" s="2" t="s">
        <v>25</v>
      </c>
    </row>
    <row r="293" customFormat="false" ht="12.8" hidden="false" customHeight="false" outlineLevel="0" collapsed="false">
      <c r="A293" s="1" t="s">
        <v>679</v>
      </c>
      <c r="B293" s="10"/>
      <c r="F293" s="2" t="n">
        <v>1</v>
      </c>
      <c r="G293" s="2" t="s">
        <v>20</v>
      </c>
      <c r="H293" s="2" t="s">
        <v>21</v>
      </c>
      <c r="I293" s="2" t="s">
        <v>22</v>
      </c>
      <c r="L293" s="10"/>
      <c r="M293" s="1" t="str">
        <f aca="false">IFERROR(VLOOKUP(L293, suppliers!$A$1:$Z$1000, 2, 0), "Enter a valid uuid in the supplier_uuid column")</f>
        <v>Enter a valid uuid in the supplier_uuid column</v>
      </c>
      <c r="N293" s="5" t="n">
        <v>0.1</v>
      </c>
      <c r="O293" s="2" t="s">
        <v>25</v>
      </c>
    </row>
    <row r="294" customFormat="false" ht="12.8" hidden="false" customHeight="false" outlineLevel="0" collapsed="false">
      <c r="A294" s="1" t="s">
        <v>680</v>
      </c>
      <c r="B294" s="10"/>
      <c r="F294" s="2" t="n">
        <v>1</v>
      </c>
      <c r="G294" s="2" t="s">
        <v>20</v>
      </c>
      <c r="H294" s="2" t="s">
        <v>21</v>
      </c>
      <c r="I294" s="2" t="s">
        <v>22</v>
      </c>
      <c r="L294" s="10"/>
      <c r="M294" s="1" t="str">
        <f aca="false">IFERROR(VLOOKUP(L294, suppliers!$A$1:$Z$1000, 2, 0), "Enter a valid uuid in the supplier_uuid column")</f>
        <v>Enter a valid uuid in the supplier_uuid column</v>
      </c>
      <c r="N294" s="5" t="n">
        <v>0.1</v>
      </c>
      <c r="O294" s="2" t="s">
        <v>25</v>
      </c>
    </row>
    <row r="295" customFormat="false" ht="12.8" hidden="false" customHeight="false" outlineLevel="0" collapsed="false">
      <c r="A295" s="1" t="s">
        <v>681</v>
      </c>
      <c r="B295" s="10"/>
      <c r="F295" s="2" t="n">
        <v>1</v>
      </c>
      <c r="G295" s="2" t="s">
        <v>20</v>
      </c>
      <c r="H295" s="2" t="s">
        <v>21</v>
      </c>
      <c r="I295" s="2" t="s">
        <v>22</v>
      </c>
      <c r="L295" s="10"/>
      <c r="M295" s="1" t="str">
        <f aca="false">IFERROR(VLOOKUP(L295, suppliers!$A$1:$Z$1000, 2, 0), "Enter a valid uuid in the supplier_uuid column")</f>
        <v>Enter a valid uuid in the supplier_uuid column</v>
      </c>
      <c r="N295" s="5" t="n">
        <v>0.1</v>
      </c>
      <c r="O295" s="2" t="s">
        <v>25</v>
      </c>
    </row>
    <row r="296" customFormat="false" ht="12.8" hidden="false" customHeight="false" outlineLevel="0" collapsed="false">
      <c r="A296" s="1" t="s">
        <v>682</v>
      </c>
      <c r="B296" s="10"/>
      <c r="F296" s="2" t="n">
        <v>1</v>
      </c>
      <c r="G296" s="2" t="s">
        <v>20</v>
      </c>
      <c r="H296" s="2" t="s">
        <v>21</v>
      </c>
      <c r="I296" s="2" t="s">
        <v>22</v>
      </c>
      <c r="L296" s="10"/>
      <c r="M296" s="1" t="str">
        <f aca="false">IFERROR(VLOOKUP(L296, suppliers!$A$1:$Z$1000, 2, 0), "Enter a valid uuid in the supplier_uuid column")</f>
        <v>Enter a valid uuid in the supplier_uuid column</v>
      </c>
      <c r="N296" s="5" t="n">
        <v>0.1</v>
      </c>
      <c r="O296" s="2" t="s">
        <v>25</v>
      </c>
    </row>
    <row r="297" customFormat="false" ht="12.8" hidden="false" customHeight="false" outlineLevel="0" collapsed="false">
      <c r="A297" s="1" t="s">
        <v>683</v>
      </c>
      <c r="B297" s="10"/>
      <c r="F297" s="2" t="n">
        <v>1</v>
      </c>
      <c r="G297" s="2" t="s">
        <v>20</v>
      </c>
      <c r="H297" s="2" t="s">
        <v>21</v>
      </c>
      <c r="I297" s="2" t="s">
        <v>22</v>
      </c>
      <c r="L297" s="10"/>
      <c r="M297" s="1" t="str">
        <f aca="false">IFERROR(VLOOKUP(L297, suppliers!$A$1:$Z$1000, 2, 0), "Enter a valid uuid in the supplier_uuid column")</f>
        <v>Enter a valid uuid in the supplier_uuid column</v>
      </c>
      <c r="N297" s="5" t="n">
        <v>0.1</v>
      </c>
      <c r="O297" s="2" t="s">
        <v>25</v>
      </c>
    </row>
    <row r="298" customFormat="false" ht="12.8" hidden="false" customHeight="false" outlineLevel="0" collapsed="false">
      <c r="A298" s="1" t="s">
        <v>684</v>
      </c>
      <c r="B298" s="10"/>
      <c r="F298" s="2" t="n">
        <v>1</v>
      </c>
      <c r="G298" s="2" t="s">
        <v>20</v>
      </c>
      <c r="H298" s="2" t="s">
        <v>21</v>
      </c>
      <c r="I298" s="2" t="s">
        <v>22</v>
      </c>
      <c r="L298" s="10"/>
      <c r="M298" s="1" t="str">
        <f aca="false">IFERROR(VLOOKUP(L298, suppliers!$A$1:$Z$1000, 2, 0), "Enter a valid uuid in the supplier_uuid column")</f>
        <v>Enter a valid uuid in the supplier_uuid column</v>
      </c>
      <c r="N298" s="5" t="n">
        <v>0.1</v>
      </c>
      <c r="O298" s="2" t="s">
        <v>25</v>
      </c>
    </row>
    <row r="299" customFormat="false" ht="12.8" hidden="false" customHeight="false" outlineLevel="0" collapsed="false">
      <c r="A299" s="1" t="s">
        <v>685</v>
      </c>
      <c r="B299" s="10"/>
      <c r="F299" s="2" t="n">
        <v>1</v>
      </c>
      <c r="G299" s="2" t="s">
        <v>20</v>
      </c>
      <c r="H299" s="2" t="s">
        <v>21</v>
      </c>
      <c r="I299" s="2" t="s">
        <v>22</v>
      </c>
      <c r="L299" s="10"/>
      <c r="M299" s="1" t="str">
        <f aca="false">IFERROR(VLOOKUP(L299, suppliers!$A$1:$Z$1000, 2, 0), "Enter a valid uuid in the supplier_uuid column")</f>
        <v>Enter a valid uuid in the supplier_uuid column</v>
      </c>
      <c r="N299" s="5" t="n">
        <v>0.1</v>
      </c>
      <c r="O299" s="2" t="s">
        <v>25</v>
      </c>
    </row>
    <row r="300" customFormat="false" ht="12.8" hidden="false" customHeight="false" outlineLevel="0" collapsed="false">
      <c r="A300" s="1" t="s">
        <v>686</v>
      </c>
      <c r="B300" s="10"/>
      <c r="F300" s="2" t="n">
        <v>1</v>
      </c>
      <c r="G300" s="2" t="s">
        <v>20</v>
      </c>
      <c r="H300" s="2" t="s">
        <v>21</v>
      </c>
      <c r="I300" s="2" t="s">
        <v>22</v>
      </c>
      <c r="L300" s="10"/>
      <c r="M300" s="1" t="str">
        <f aca="false">IFERROR(VLOOKUP(L300, suppliers!$A$1:$Z$1000, 2, 0), "Enter a valid uuid in the supplier_uuid column")</f>
        <v>Enter a valid uuid in the supplier_uuid column</v>
      </c>
      <c r="N300" s="5" t="n">
        <v>0.1</v>
      </c>
      <c r="O300" s="2" t="s">
        <v>25</v>
      </c>
    </row>
    <row r="301" customFormat="false" ht="12.8" hidden="false" customHeight="false" outlineLevel="0" collapsed="false">
      <c r="A301" s="1" t="s">
        <v>687</v>
      </c>
      <c r="B301" s="10"/>
      <c r="F301" s="2" t="n">
        <v>1</v>
      </c>
      <c r="G301" s="2" t="s">
        <v>20</v>
      </c>
      <c r="H301" s="2" t="s">
        <v>21</v>
      </c>
      <c r="I301" s="2" t="s">
        <v>22</v>
      </c>
      <c r="L301" s="10"/>
      <c r="M301" s="1" t="str">
        <f aca="false">IFERROR(VLOOKUP(L301, suppliers!$A$1:$Z$1000, 2, 0), "Enter a valid uuid in the supplier_uuid column")</f>
        <v>Enter a valid uuid in the supplier_uuid column</v>
      </c>
      <c r="N301" s="5" t="n">
        <v>0.1</v>
      </c>
      <c r="O301" s="2" t="s">
        <v>25</v>
      </c>
    </row>
    <row r="302" customFormat="false" ht="12.8" hidden="false" customHeight="false" outlineLevel="0" collapsed="false">
      <c r="A302" s="1" t="s">
        <v>688</v>
      </c>
      <c r="B302" s="10"/>
      <c r="F302" s="2" t="n">
        <v>1</v>
      </c>
      <c r="G302" s="2" t="s">
        <v>20</v>
      </c>
      <c r="H302" s="2" t="s">
        <v>21</v>
      </c>
      <c r="I302" s="2" t="s">
        <v>22</v>
      </c>
      <c r="L302" s="10"/>
      <c r="M302" s="1" t="str">
        <f aca="false">IFERROR(VLOOKUP(L302, suppliers!$A$1:$Z$1000, 2, 0), "Enter a valid uuid in the supplier_uuid column")</f>
        <v>Enter a valid uuid in the supplier_uuid column</v>
      </c>
      <c r="N302" s="5" t="n">
        <v>0.1</v>
      </c>
      <c r="O302" s="2" t="s">
        <v>25</v>
      </c>
    </row>
    <row r="303" customFormat="false" ht="12.8" hidden="false" customHeight="false" outlineLevel="0" collapsed="false">
      <c r="A303" s="1" t="s">
        <v>689</v>
      </c>
      <c r="B303" s="10"/>
      <c r="F303" s="2" t="n">
        <v>1</v>
      </c>
      <c r="G303" s="2" t="s">
        <v>20</v>
      </c>
      <c r="H303" s="2" t="s">
        <v>21</v>
      </c>
      <c r="I303" s="2" t="s">
        <v>22</v>
      </c>
      <c r="L303" s="10"/>
      <c r="M303" s="1" t="str">
        <f aca="false">IFERROR(VLOOKUP(L303, suppliers!$A$1:$Z$1000, 2, 0), "Enter a valid uuid in the supplier_uuid column")</f>
        <v>Enter a valid uuid in the supplier_uuid column</v>
      </c>
      <c r="N303" s="5" t="n">
        <v>0.1</v>
      </c>
      <c r="O303" s="2" t="s">
        <v>25</v>
      </c>
    </row>
    <row r="304" customFormat="false" ht="12.8" hidden="false" customHeight="false" outlineLevel="0" collapsed="false">
      <c r="A304" s="1" t="s">
        <v>690</v>
      </c>
      <c r="B304" s="10"/>
      <c r="F304" s="2" t="n">
        <v>1</v>
      </c>
      <c r="G304" s="2" t="s">
        <v>20</v>
      </c>
      <c r="H304" s="2" t="s">
        <v>21</v>
      </c>
      <c r="I304" s="2" t="s">
        <v>22</v>
      </c>
      <c r="L304" s="10"/>
      <c r="M304" s="1" t="str">
        <f aca="false">IFERROR(VLOOKUP(L304, suppliers!$A$1:$Z$1000, 2, 0), "Enter a valid uuid in the supplier_uuid column")</f>
        <v>Enter a valid uuid in the supplier_uuid column</v>
      </c>
      <c r="N304" s="5" t="n">
        <v>0.1</v>
      </c>
      <c r="O304" s="2" t="s">
        <v>25</v>
      </c>
    </row>
    <row r="305" customFormat="false" ht="12.8" hidden="false" customHeight="false" outlineLevel="0" collapsed="false">
      <c r="A305" s="1" t="s">
        <v>691</v>
      </c>
      <c r="B305" s="10"/>
      <c r="F305" s="2" t="n">
        <v>1</v>
      </c>
      <c r="G305" s="2" t="s">
        <v>20</v>
      </c>
      <c r="H305" s="2" t="s">
        <v>21</v>
      </c>
      <c r="I305" s="2" t="s">
        <v>22</v>
      </c>
      <c r="L305" s="10"/>
      <c r="M305" s="1" t="str">
        <f aca="false">IFERROR(VLOOKUP(L305, suppliers!$A$1:$Z$1000, 2, 0), "Enter a valid uuid in the supplier_uuid column")</f>
        <v>Enter a valid uuid in the supplier_uuid column</v>
      </c>
      <c r="N305" s="5" t="n">
        <v>0.1</v>
      </c>
      <c r="O305" s="2" t="s">
        <v>25</v>
      </c>
    </row>
    <row r="306" customFormat="false" ht="12.8" hidden="false" customHeight="false" outlineLevel="0" collapsed="false">
      <c r="A306" s="1" t="s">
        <v>692</v>
      </c>
      <c r="B306" s="10"/>
      <c r="F306" s="2" t="n">
        <v>1</v>
      </c>
      <c r="G306" s="2" t="s">
        <v>20</v>
      </c>
      <c r="H306" s="2" t="s">
        <v>21</v>
      </c>
      <c r="I306" s="2" t="s">
        <v>22</v>
      </c>
      <c r="L306" s="10"/>
      <c r="M306" s="1" t="str">
        <f aca="false">IFERROR(VLOOKUP(L306, suppliers!$A$1:$Z$1000, 2, 0), "Enter a valid uuid in the supplier_uuid column")</f>
        <v>Enter a valid uuid in the supplier_uuid column</v>
      </c>
      <c r="N306" s="5" t="n">
        <v>0.1</v>
      </c>
      <c r="O306" s="2" t="s">
        <v>25</v>
      </c>
    </row>
    <row r="307" customFormat="false" ht="12.8" hidden="false" customHeight="false" outlineLevel="0" collapsed="false">
      <c r="A307" s="1" t="s">
        <v>693</v>
      </c>
      <c r="B307" s="10"/>
      <c r="F307" s="2" t="n">
        <v>1</v>
      </c>
      <c r="G307" s="2" t="s">
        <v>20</v>
      </c>
      <c r="H307" s="2" t="s">
        <v>21</v>
      </c>
      <c r="I307" s="2" t="s">
        <v>22</v>
      </c>
      <c r="L307" s="10"/>
      <c r="M307" s="1" t="str">
        <f aca="false">IFERROR(VLOOKUP(L307, suppliers!$A$1:$Z$1000, 2, 0), "Enter a valid uuid in the supplier_uuid column")</f>
        <v>Enter a valid uuid in the supplier_uuid column</v>
      </c>
      <c r="N307" s="5" t="n">
        <v>0.1</v>
      </c>
      <c r="O307" s="2" t="s">
        <v>25</v>
      </c>
    </row>
    <row r="308" customFormat="false" ht="12.8" hidden="false" customHeight="false" outlineLevel="0" collapsed="false">
      <c r="A308" s="1" t="s">
        <v>694</v>
      </c>
      <c r="B308" s="10"/>
      <c r="F308" s="2" t="n">
        <v>1</v>
      </c>
      <c r="G308" s="2" t="s">
        <v>20</v>
      </c>
      <c r="H308" s="2" t="s">
        <v>21</v>
      </c>
      <c r="I308" s="2" t="s">
        <v>22</v>
      </c>
      <c r="L308" s="10"/>
      <c r="M308" s="1" t="str">
        <f aca="false">IFERROR(VLOOKUP(L308, suppliers!$A$1:$Z$1000, 2, 0), "Enter a valid uuid in the supplier_uuid column")</f>
        <v>Enter a valid uuid in the supplier_uuid column</v>
      </c>
      <c r="N308" s="5" t="n">
        <v>0.1</v>
      </c>
      <c r="O308" s="2" t="s">
        <v>25</v>
      </c>
    </row>
    <row r="309" customFormat="false" ht="12.8" hidden="false" customHeight="false" outlineLevel="0" collapsed="false">
      <c r="A309" s="1" t="s">
        <v>695</v>
      </c>
      <c r="B309" s="10"/>
      <c r="F309" s="2" t="n">
        <v>1</v>
      </c>
      <c r="G309" s="2" t="s">
        <v>20</v>
      </c>
      <c r="H309" s="2" t="s">
        <v>21</v>
      </c>
      <c r="I309" s="2" t="s">
        <v>22</v>
      </c>
      <c r="L309" s="10"/>
      <c r="M309" s="1" t="str">
        <f aca="false">IFERROR(VLOOKUP(L309, suppliers!$A$1:$Z$1000, 2, 0), "Enter a valid uuid in the supplier_uuid column")</f>
        <v>Enter a valid uuid in the supplier_uuid column</v>
      </c>
      <c r="N309" s="5" t="n">
        <v>0.1</v>
      </c>
      <c r="O309" s="2" t="s">
        <v>25</v>
      </c>
    </row>
    <row r="310" customFormat="false" ht="12.8" hidden="false" customHeight="false" outlineLevel="0" collapsed="false">
      <c r="A310" s="1" t="s">
        <v>696</v>
      </c>
      <c r="B310" s="10"/>
      <c r="F310" s="2" t="n">
        <v>1</v>
      </c>
      <c r="G310" s="2" t="s">
        <v>20</v>
      </c>
      <c r="H310" s="2" t="s">
        <v>21</v>
      </c>
      <c r="I310" s="2" t="s">
        <v>22</v>
      </c>
      <c r="L310" s="10"/>
      <c r="M310" s="1" t="str">
        <f aca="false">IFERROR(VLOOKUP(L310, suppliers!$A$1:$Z$1000, 2, 0), "Enter a valid uuid in the supplier_uuid column")</f>
        <v>Enter a valid uuid in the supplier_uuid column</v>
      </c>
      <c r="N310" s="5" t="n">
        <v>0.1</v>
      </c>
      <c r="O310" s="2" t="s">
        <v>25</v>
      </c>
    </row>
    <row r="311" customFormat="false" ht="12.8" hidden="false" customHeight="false" outlineLevel="0" collapsed="false">
      <c r="A311" s="1" t="s">
        <v>697</v>
      </c>
      <c r="B311" s="10"/>
      <c r="F311" s="2" t="n">
        <v>1</v>
      </c>
      <c r="G311" s="2" t="s">
        <v>20</v>
      </c>
      <c r="H311" s="2" t="s">
        <v>21</v>
      </c>
      <c r="I311" s="2" t="s">
        <v>22</v>
      </c>
      <c r="L311" s="10"/>
      <c r="M311" s="1" t="str">
        <f aca="false">IFERROR(VLOOKUP(L311, suppliers!$A$1:$Z$1000, 2, 0), "Enter a valid uuid in the supplier_uuid column")</f>
        <v>Enter a valid uuid in the supplier_uuid column</v>
      </c>
      <c r="N311" s="5" t="n">
        <v>0.1</v>
      </c>
      <c r="O311" s="2" t="s">
        <v>25</v>
      </c>
    </row>
    <row r="312" customFormat="false" ht="12.8" hidden="false" customHeight="false" outlineLevel="0" collapsed="false">
      <c r="A312" s="1" t="s">
        <v>698</v>
      </c>
      <c r="B312" s="10"/>
      <c r="F312" s="2" t="n">
        <v>1</v>
      </c>
      <c r="G312" s="2" t="s">
        <v>20</v>
      </c>
      <c r="H312" s="2" t="s">
        <v>21</v>
      </c>
      <c r="I312" s="2" t="s">
        <v>22</v>
      </c>
      <c r="L312" s="10"/>
      <c r="M312" s="1" t="str">
        <f aca="false">IFERROR(VLOOKUP(L312, suppliers!$A$1:$Z$1000, 2, 0), "Enter a valid uuid in the supplier_uuid column")</f>
        <v>Enter a valid uuid in the supplier_uuid column</v>
      </c>
      <c r="N312" s="5" t="n">
        <v>0.1</v>
      </c>
      <c r="O312" s="2" t="s">
        <v>25</v>
      </c>
    </row>
    <row r="313" customFormat="false" ht="12.8" hidden="false" customHeight="false" outlineLevel="0" collapsed="false">
      <c r="A313" s="1" t="s">
        <v>699</v>
      </c>
      <c r="B313" s="10"/>
      <c r="F313" s="2" t="n">
        <v>1</v>
      </c>
      <c r="G313" s="2" t="s">
        <v>20</v>
      </c>
      <c r="H313" s="2" t="s">
        <v>21</v>
      </c>
      <c r="I313" s="2" t="s">
        <v>22</v>
      </c>
      <c r="L313" s="10"/>
      <c r="M313" s="1" t="str">
        <f aca="false">IFERROR(VLOOKUP(L313, suppliers!$A$1:$Z$1000, 2, 0), "Enter a valid uuid in the supplier_uuid column")</f>
        <v>Enter a valid uuid in the supplier_uuid column</v>
      </c>
      <c r="N313" s="5" t="n">
        <v>0.1</v>
      </c>
      <c r="O313" s="2" t="s">
        <v>25</v>
      </c>
    </row>
    <row r="314" customFormat="false" ht="12.8" hidden="false" customHeight="false" outlineLevel="0" collapsed="false">
      <c r="A314" s="1" t="s">
        <v>700</v>
      </c>
      <c r="B314" s="10"/>
      <c r="F314" s="2" t="n">
        <v>1</v>
      </c>
      <c r="G314" s="2" t="s">
        <v>20</v>
      </c>
      <c r="H314" s="2" t="s">
        <v>21</v>
      </c>
      <c r="I314" s="2" t="s">
        <v>22</v>
      </c>
      <c r="L314" s="10"/>
      <c r="M314" s="1" t="str">
        <f aca="false">IFERROR(VLOOKUP(L314, suppliers!$A$1:$Z$1000, 2, 0), "Enter a valid uuid in the supplier_uuid column")</f>
        <v>Enter a valid uuid in the supplier_uuid column</v>
      </c>
      <c r="N314" s="5" t="n">
        <v>0.1</v>
      </c>
      <c r="O314" s="2" t="s">
        <v>25</v>
      </c>
    </row>
    <row r="315" customFormat="false" ht="12.8" hidden="false" customHeight="false" outlineLevel="0" collapsed="false">
      <c r="A315" s="1" t="s">
        <v>701</v>
      </c>
      <c r="B315" s="10"/>
      <c r="F315" s="2" t="n">
        <v>1</v>
      </c>
      <c r="G315" s="2" t="s">
        <v>20</v>
      </c>
      <c r="H315" s="2" t="s">
        <v>21</v>
      </c>
      <c r="I315" s="2" t="s">
        <v>22</v>
      </c>
      <c r="L315" s="10"/>
      <c r="M315" s="1" t="str">
        <f aca="false">IFERROR(VLOOKUP(L315, suppliers!$A$1:$Z$1000, 2, 0), "Enter a valid uuid in the supplier_uuid column")</f>
        <v>Enter a valid uuid in the supplier_uuid column</v>
      </c>
      <c r="N315" s="5" t="n">
        <v>0.1</v>
      </c>
      <c r="O315" s="2" t="s">
        <v>25</v>
      </c>
    </row>
    <row r="316" customFormat="false" ht="12.8" hidden="false" customHeight="false" outlineLevel="0" collapsed="false">
      <c r="A316" s="1" t="s">
        <v>702</v>
      </c>
      <c r="B316" s="10"/>
      <c r="F316" s="2" t="n">
        <v>1</v>
      </c>
      <c r="G316" s="2" t="s">
        <v>20</v>
      </c>
      <c r="H316" s="2" t="s">
        <v>21</v>
      </c>
      <c r="I316" s="2" t="s">
        <v>22</v>
      </c>
      <c r="L316" s="10"/>
      <c r="M316" s="1" t="str">
        <f aca="false">IFERROR(VLOOKUP(L316, suppliers!$A$1:$Z$1000, 2, 0), "Enter a valid uuid in the supplier_uuid column")</f>
        <v>Enter a valid uuid in the supplier_uuid column</v>
      </c>
      <c r="N316" s="5" t="n">
        <v>0.1</v>
      </c>
      <c r="O316" s="2" t="s">
        <v>25</v>
      </c>
    </row>
    <row r="317" customFormat="false" ht="12.8" hidden="false" customHeight="false" outlineLevel="0" collapsed="false">
      <c r="A317" s="1" t="s">
        <v>703</v>
      </c>
      <c r="B317" s="10"/>
      <c r="F317" s="2" t="n">
        <v>1</v>
      </c>
      <c r="G317" s="2" t="s">
        <v>20</v>
      </c>
      <c r="H317" s="2" t="s">
        <v>21</v>
      </c>
      <c r="I317" s="2" t="s">
        <v>22</v>
      </c>
      <c r="L317" s="10"/>
      <c r="M317" s="1" t="str">
        <f aca="false">IFERROR(VLOOKUP(L317, suppliers!$A$1:$Z$1000, 2, 0), "Enter a valid uuid in the supplier_uuid column")</f>
        <v>Enter a valid uuid in the supplier_uuid column</v>
      </c>
      <c r="N317" s="5" t="n">
        <v>0.1</v>
      </c>
      <c r="O317" s="2" t="s">
        <v>25</v>
      </c>
    </row>
    <row r="318" customFormat="false" ht="12.8" hidden="false" customHeight="false" outlineLevel="0" collapsed="false">
      <c r="A318" s="1" t="s">
        <v>704</v>
      </c>
      <c r="B318" s="10"/>
      <c r="F318" s="2" t="n">
        <v>1</v>
      </c>
      <c r="G318" s="2" t="s">
        <v>20</v>
      </c>
      <c r="H318" s="2" t="s">
        <v>21</v>
      </c>
      <c r="I318" s="2" t="s">
        <v>22</v>
      </c>
      <c r="L318" s="10"/>
      <c r="M318" s="1" t="str">
        <f aca="false">IFERROR(VLOOKUP(L318, suppliers!$A$1:$Z$1000, 2, 0), "Enter a valid uuid in the supplier_uuid column")</f>
        <v>Enter a valid uuid in the supplier_uuid column</v>
      </c>
      <c r="N318" s="5" t="n">
        <v>0.1</v>
      </c>
      <c r="O318" s="2" t="s">
        <v>25</v>
      </c>
    </row>
    <row r="319" customFormat="false" ht="12.8" hidden="false" customHeight="false" outlineLevel="0" collapsed="false">
      <c r="A319" s="1" t="s">
        <v>705</v>
      </c>
      <c r="B319" s="10"/>
      <c r="F319" s="2" t="n">
        <v>1</v>
      </c>
      <c r="G319" s="2" t="s">
        <v>20</v>
      </c>
      <c r="H319" s="2" t="s">
        <v>21</v>
      </c>
      <c r="I319" s="2" t="s">
        <v>22</v>
      </c>
      <c r="L319" s="10"/>
      <c r="M319" s="1" t="str">
        <f aca="false">IFERROR(VLOOKUP(L319, suppliers!$A$1:$Z$1000, 2, 0), "Enter a valid uuid in the supplier_uuid column")</f>
        <v>Enter a valid uuid in the supplier_uuid column</v>
      </c>
      <c r="N319" s="5" t="n">
        <v>0.1</v>
      </c>
      <c r="O319" s="2" t="s">
        <v>25</v>
      </c>
    </row>
    <row r="320" customFormat="false" ht="12.8" hidden="false" customHeight="false" outlineLevel="0" collapsed="false">
      <c r="A320" s="1" t="s">
        <v>706</v>
      </c>
      <c r="B320" s="10"/>
      <c r="F320" s="2" t="n">
        <v>1</v>
      </c>
      <c r="G320" s="2" t="s">
        <v>20</v>
      </c>
      <c r="H320" s="2" t="s">
        <v>21</v>
      </c>
      <c r="I320" s="2" t="s">
        <v>22</v>
      </c>
      <c r="L320" s="10"/>
      <c r="M320" s="1" t="str">
        <f aca="false">IFERROR(VLOOKUP(L320, suppliers!$A$1:$Z$1000, 2, 0), "Enter a valid uuid in the supplier_uuid column")</f>
        <v>Enter a valid uuid in the supplier_uuid column</v>
      </c>
      <c r="N320" s="5" t="n">
        <v>0.1</v>
      </c>
      <c r="O320" s="2" t="s">
        <v>25</v>
      </c>
    </row>
    <row r="321" customFormat="false" ht="12.8" hidden="false" customHeight="false" outlineLevel="0" collapsed="false">
      <c r="A321" s="1" t="s">
        <v>707</v>
      </c>
      <c r="B321" s="10"/>
      <c r="F321" s="2" t="n">
        <v>1</v>
      </c>
      <c r="G321" s="2" t="s">
        <v>20</v>
      </c>
      <c r="H321" s="2" t="s">
        <v>21</v>
      </c>
      <c r="I321" s="2" t="s">
        <v>22</v>
      </c>
      <c r="L321" s="10"/>
      <c r="M321" s="1" t="str">
        <f aca="false">IFERROR(VLOOKUP(L321, suppliers!$A$1:$Z$1000, 2, 0), "Enter a valid uuid in the supplier_uuid column")</f>
        <v>Enter a valid uuid in the supplier_uuid column</v>
      </c>
      <c r="N321" s="5" t="n">
        <v>0.1</v>
      </c>
      <c r="O321" s="2" t="s">
        <v>25</v>
      </c>
    </row>
    <row r="322" customFormat="false" ht="12.8" hidden="false" customHeight="false" outlineLevel="0" collapsed="false">
      <c r="A322" s="1" t="s">
        <v>708</v>
      </c>
      <c r="B322" s="10"/>
      <c r="F322" s="2" t="n">
        <v>1</v>
      </c>
      <c r="G322" s="2" t="s">
        <v>20</v>
      </c>
      <c r="H322" s="2" t="s">
        <v>21</v>
      </c>
      <c r="I322" s="2" t="s">
        <v>22</v>
      </c>
      <c r="L322" s="10"/>
      <c r="M322" s="1" t="str">
        <f aca="false">IFERROR(VLOOKUP(L322, suppliers!$A$1:$Z$1000, 2, 0), "Enter a valid uuid in the supplier_uuid column")</f>
        <v>Enter a valid uuid in the supplier_uuid column</v>
      </c>
      <c r="N322" s="5" t="n">
        <v>0.1</v>
      </c>
      <c r="O322" s="2" t="s">
        <v>25</v>
      </c>
    </row>
    <row r="323" customFormat="false" ht="12.8" hidden="false" customHeight="false" outlineLevel="0" collapsed="false">
      <c r="A323" s="1" t="s">
        <v>709</v>
      </c>
      <c r="B323" s="10"/>
      <c r="F323" s="2" t="n">
        <v>1</v>
      </c>
      <c r="G323" s="2" t="s">
        <v>20</v>
      </c>
      <c r="H323" s="2" t="s">
        <v>21</v>
      </c>
      <c r="I323" s="2" t="s">
        <v>22</v>
      </c>
      <c r="L323" s="10"/>
      <c r="M323" s="1" t="str">
        <f aca="false">IFERROR(VLOOKUP(L323, suppliers!$A$1:$Z$1000, 2, 0), "Enter a valid uuid in the supplier_uuid column")</f>
        <v>Enter a valid uuid in the supplier_uuid column</v>
      </c>
      <c r="N323" s="5" t="n">
        <v>0.1</v>
      </c>
      <c r="O323" s="2" t="s">
        <v>25</v>
      </c>
    </row>
    <row r="324" customFormat="false" ht="12.8" hidden="false" customHeight="false" outlineLevel="0" collapsed="false">
      <c r="A324" s="1" t="s">
        <v>710</v>
      </c>
      <c r="B324" s="10"/>
      <c r="F324" s="2" t="n">
        <v>1</v>
      </c>
      <c r="G324" s="2" t="s">
        <v>20</v>
      </c>
      <c r="H324" s="2" t="s">
        <v>21</v>
      </c>
      <c r="I324" s="2" t="s">
        <v>22</v>
      </c>
      <c r="L324" s="10"/>
      <c r="M324" s="1" t="str">
        <f aca="false">IFERROR(VLOOKUP(L324, suppliers!$A$1:$Z$1000, 2, 0), "Enter a valid uuid in the supplier_uuid column")</f>
        <v>Enter a valid uuid in the supplier_uuid column</v>
      </c>
      <c r="N324" s="5" t="n">
        <v>0.1</v>
      </c>
      <c r="O324" s="2" t="s">
        <v>25</v>
      </c>
    </row>
    <row r="325" customFormat="false" ht="12.8" hidden="false" customHeight="false" outlineLevel="0" collapsed="false">
      <c r="A325" s="1" t="s">
        <v>711</v>
      </c>
      <c r="B325" s="10"/>
      <c r="F325" s="2" t="n">
        <v>1</v>
      </c>
      <c r="G325" s="2" t="s">
        <v>20</v>
      </c>
      <c r="H325" s="2" t="s">
        <v>21</v>
      </c>
      <c r="I325" s="2" t="s">
        <v>22</v>
      </c>
      <c r="L325" s="10"/>
      <c r="M325" s="1" t="str">
        <f aca="false">IFERROR(VLOOKUP(L325, suppliers!$A$1:$Z$1000, 2, 0), "Enter a valid uuid in the supplier_uuid column")</f>
        <v>Enter a valid uuid in the supplier_uuid column</v>
      </c>
      <c r="N325" s="5" t="n">
        <v>0.1</v>
      </c>
      <c r="O325" s="2" t="s">
        <v>25</v>
      </c>
    </row>
    <row r="326" customFormat="false" ht="12.8" hidden="false" customHeight="false" outlineLevel="0" collapsed="false">
      <c r="A326" s="1" t="s">
        <v>712</v>
      </c>
      <c r="B326" s="10"/>
      <c r="F326" s="2" t="n">
        <v>1</v>
      </c>
      <c r="G326" s="2" t="s">
        <v>20</v>
      </c>
      <c r="H326" s="2" t="s">
        <v>21</v>
      </c>
      <c r="I326" s="2" t="s">
        <v>22</v>
      </c>
      <c r="L326" s="10"/>
      <c r="M326" s="1" t="str">
        <f aca="false">IFERROR(VLOOKUP(L326, suppliers!$A$1:$Z$1000, 2, 0), "Enter a valid uuid in the supplier_uuid column")</f>
        <v>Enter a valid uuid in the supplier_uuid column</v>
      </c>
      <c r="N326" s="5" t="n">
        <v>0.1</v>
      </c>
      <c r="O326" s="2" t="s">
        <v>25</v>
      </c>
    </row>
    <row r="327" customFormat="false" ht="12.8" hidden="false" customHeight="false" outlineLevel="0" collapsed="false">
      <c r="A327" s="1" t="s">
        <v>713</v>
      </c>
      <c r="B327" s="10"/>
      <c r="F327" s="2" t="n">
        <v>1</v>
      </c>
      <c r="G327" s="2" t="s">
        <v>20</v>
      </c>
      <c r="H327" s="2" t="s">
        <v>21</v>
      </c>
      <c r="I327" s="2" t="s">
        <v>22</v>
      </c>
      <c r="L327" s="10"/>
      <c r="M327" s="1" t="str">
        <f aca="false">IFERROR(VLOOKUP(L327, suppliers!$A$1:$Z$1000, 2, 0), "Enter a valid uuid in the supplier_uuid column")</f>
        <v>Enter a valid uuid in the supplier_uuid column</v>
      </c>
      <c r="N327" s="5" t="n">
        <v>0.1</v>
      </c>
      <c r="O327" s="2" t="s">
        <v>25</v>
      </c>
    </row>
    <row r="328" customFormat="false" ht="12.8" hidden="false" customHeight="false" outlineLevel="0" collapsed="false">
      <c r="A328" s="1" t="s">
        <v>714</v>
      </c>
      <c r="B328" s="10"/>
      <c r="F328" s="2" t="n">
        <v>1</v>
      </c>
      <c r="G328" s="2" t="s">
        <v>20</v>
      </c>
      <c r="H328" s="2" t="s">
        <v>21</v>
      </c>
      <c r="I328" s="2" t="s">
        <v>22</v>
      </c>
      <c r="L328" s="10"/>
      <c r="M328" s="1" t="str">
        <f aca="false">IFERROR(VLOOKUP(L328, suppliers!$A$1:$Z$1000, 2, 0), "Enter a valid uuid in the supplier_uuid column")</f>
        <v>Enter a valid uuid in the supplier_uuid column</v>
      </c>
      <c r="N328" s="5" t="n">
        <v>0.1</v>
      </c>
      <c r="O328" s="2" t="s">
        <v>25</v>
      </c>
    </row>
    <row r="329" customFormat="false" ht="12.8" hidden="false" customHeight="false" outlineLevel="0" collapsed="false">
      <c r="A329" s="1" t="s">
        <v>715</v>
      </c>
      <c r="B329" s="10"/>
      <c r="F329" s="2" t="n">
        <v>1</v>
      </c>
      <c r="G329" s="2" t="s">
        <v>20</v>
      </c>
      <c r="H329" s="2" t="s">
        <v>21</v>
      </c>
      <c r="I329" s="2" t="s">
        <v>22</v>
      </c>
      <c r="L329" s="10"/>
      <c r="M329" s="1" t="str">
        <f aca="false">IFERROR(VLOOKUP(L329, suppliers!$A$1:$Z$1000, 2, 0), "Enter a valid uuid in the supplier_uuid column")</f>
        <v>Enter a valid uuid in the supplier_uuid column</v>
      </c>
      <c r="N329" s="5" t="n">
        <v>0.1</v>
      </c>
      <c r="O329" s="2" t="s">
        <v>25</v>
      </c>
    </row>
    <row r="330" customFormat="false" ht="12.8" hidden="false" customHeight="false" outlineLevel="0" collapsed="false">
      <c r="A330" s="1" t="s">
        <v>716</v>
      </c>
      <c r="B330" s="10"/>
      <c r="F330" s="2" t="n">
        <v>1</v>
      </c>
      <c r="G330" s="2" t="s">
        <v>20</v>
      </c>
      <c r="H330" s="2" t="s">
        <v>21</v>
      </c>
      <c r="I330" s="2" t="s">
        <v>22</v>
      </c>
      <c r="L330" s="10"/>
      <c r="M330" s="1" t="str">
        <f aca="false">IFERROR(VLOOKUP(L330, suppliers!$A$1:$Z$1000, 2, 0), "Enter a valid uuid in the supplier_uuid column")</f>
        <v>Enter a valid uuid in the supplier_uuid column</v>
      </c>
      <c r="N330" s="5" t="n">
        <v>0.1</v>
      </c>
      <c r="O330" s="2" t="s">
        <v>25</v>
      </c>
    </row>
    <row r="331" customFormat="false" ht="12.8" hidden="false" customHeight="false" outlineLevel="0" collapsed="false">
      <c r="A331" s="1" t="s">
        <v>717</v>
      </c>
      <c r="B331" s="10"/>
      <c r="F331" s="2" t="n">
        <v>1</v>
      </c>
      <c r="G331" s="2" t="s">
        <v>20</v>
      </c>
      <c r="H331" s="2" t="s">
        <v>21</v>
      </c>
      <c r="I331" s="2" t="s">
        <v>22</v>
      </c>
      <c r="L331" s="10"/>
      <c r="M331" s="1" t="str">
        <f aca="false">IFERROR(VLOOKUP(L331, suppliers!$A$1:$Z$1000, 2, 0), "Enter a valid uuid in the supplier_uuid column")</f>
        <v>Enter a valid uuid in the supplier_uuid column</v>
      </c>
      <c r="N331" s="5" t="n">
        <v>0.1</v>
      </c>
      <c r="O331" s="2" t="s">
        <v>25</v>
      </c>
    </row>
    <row r="332" customFormat="false" ht="12.8" hidden="false" customHeight="false" outlineLevel="0" collapsed="false">
      <c r="A332" s="1" t="s">
        <v>718</v>
      </c>
      <c r="B332" s="10"/>
      <c r="F332" s="2" t="n">
        <v>1</v>
      </c>
      <c r="G332" s="2" t="s">
        <v>20</v>
      </c>
      <c r="H332" s="2" t="s">
        <v>21</v>
      </c>
      <c r="I332" s="2" t="s">
        <v>22</v>
      </c>
      <c r="L332" s="10"/>
      <c r="M332" s="1" t="str">
        <f aca="false">IFERROR(VLOOKUP(L332, suppliers!$A$1:$Z$1000, 2, 0), "Enter a valid uuid in the supplier_uuid column")</f>
        <v>Enter a valid uuid in the supplier_uuid column</v>
      </c>
      <c r="N332" s="5" t="n">
        <v>0.1</v>
      </c>
      <c r="O332" s="2" t="s">
        <v>25</v>
      </c>
    </row>
    <row r="333" customFormat="false" ht="12.8" hidden="false" customHeight="false" outlineLevel="0" collapsed="false">
      <c r="A333" s="1" t="s">
        <v>719</v>
      </c>
      <c r="B333" s="10"/>
      <c r="F333" s="2" t="n">
        <v>1</v>
      </c>
      <c r="G333" s="2" t="s">
        <v>20</v>
      </c>
      <c r="H333" s="2" t="s">
        <v>21</v>
      </c>
      <c r="I333" s="2" t="s">
        <v>22</v>
      </c>
      <c r="L333" s="10"/>
      <c r="M333" s="1" t="str">
        <f aca="false">IFERROR(VLOOKUP(L333, suppliers!$A$1:$Z$1000, 2, 0), "Enter a valid uuid in the supplier_uuid column")</f>
        <v>Enter a valid uuid in the supplier_uuid column</v>
      </c>
      <c r="N333" s="5" t="n">
        <v>0.1</v>
      </c>
      <c r="O333" s="2" t="s">
        <v>25</v>
      </c>
    </row>
    <row r="334" customFormat="false" ht="12.8" hidden="false" customHeight="false" outlineLevel="0" collapsed="false">
      <c r="A334" s="1" t="s">
        <v>720</v>
      </c>
      <c r="B334" s="10"/>
      <c r="F334" s="2" t="n">
        <v>1</v>
      </c>
      <c r="G334" s="2" t="s">
        <v>20</v>
      </c>
      <c r="H334" s="2" t="s">
        <v>21</v>
      </c>
      <c r="I334" s="2" t="s">
        <v>22</v>
      </c>
      <c r="L334" s="10"/>
      <c r="M334" s="1" t="str">
        <f aca="false">IFERROR(VLOOKUP(L334, suppliers!$A$1:$Z$1000, 2, 0), "Enter a valid uuid in the supplier_uuid column")</f>
        <v>Enter a valid uuid in the supplier_uuid column</v>
      </c>
      <c r="N334" s="5" t="n">
        <v>0.1</v>
      </c>
      <c r="O334" s="2" t="s">
        <v>25</v>
      </c>
    </row>
    <row r="335" customFormat="false" ht="12.8" hidden="false" customHeight="false" outlineLevel="0" collapsed="false">
      <c r="A335" s="1" t="s">
        <v>721</v>
      </c>
      <c r="B335" s="10"/>
      <c r="F335" s="2" t="n">
        <v>1</v>
      </c>
      <c r="G335" s="2" t="s">
        <v>20</v>
      </c>
      <c r="H335" s="2" t="s">
        <v>21</v>
      </c>
      <c r="I335" s="2" t="s">
        <v>22</v>
      </c>
      <c r="L335" s="10"/>
      <c r="M335" s="1" t="str">
        <f aca="false">IFERROR(VLOOKUP(L335, suppliers!$A$1:$Z$1000, 2, 0), "Enter a valid uuid in the supplier_uuid column")</f>
        <v>Enter a valid uuid in the supplier_uuid column</v>
      </c>
      <c r="N335" s="5" t="n">
        <v>0.1</v>
      </c>
      <c r="O335" s="2" t="s">
        <v>25</v>
      </c>
    </row>
    <row r="336" customFormat="false" ht="12.8" hidden="false" customHeight="false" outlineLevel="0" collapsed="false">
      <c r="A336" s="1" t="s">
        <v>722</v>
      </c>
      <c r="B336" s="10"/>
      <c r="F336" s="2" t="n">
        <v>1</v>
      </c>
      <c r="G336" s="2" t="s">
        <v>20</v>
      </c>
      <c r="H336" s="2" t="s">
        <v>21</v>
      </c>
      <c r="I336" s="2" t="s">
        <v>22</v>
      </c>
      <c r="L336" s="10"/>
      <c r="M336" s="1" t="str">
        <f aca="false">IFERROR(VLOOKUP(L336, suppliers!$A$1:$Z$1000, 2, 0), "Enter a valid uuid in the supplier_uuid column")</f>
        <v>Enter a valid uuid in the supplier_uuid column</v>
      </c>
      <c r="N336" s="5" t="n">
        <v>0.1</v>
      </c>
      <c r="O336" s="2" t="s">
        <v>25</v>
      </c>
    </row>
    <row r="337" customFormat="false" ht="12.8" hidden="false" customHeight="false" outlineLevel="0" collapsed="false">
      <c r="A337" s="1" t="s">
        <v>723</v>
      </c>
      <c r="B337" s="10"/>
      <c r="F337" s="2" t="n">
        <v>1</v>
      </c>
      <c r="G337" s="2" t="s">
        <v>20</v>
      </c>
      <c r="H337" s="2" t="s">
        <v>21</v>
      </c>
      <c r="I337" s="2" t="s">
        <v>22</v>
      </c>
      <c r="L337" s="10"/>
      <c r="M337" s="1" t="str">
        <f aca="false">IFERROR(VLOOKUP(L337, suppliers!$A$1:$Z$1000, 2, 0), "Enter a valid uuid in the supplier_uuid column")</f>
        <v>Enter a valid uuid in the supplier_uuid column</v>
      </c>
      <c r="N337" s="5" t="n">
        <v>0.1</v>
      </c>
      <c r="O337" s="2" t="s">
        <v>25</v>
      </c>
    </row>
    <row r="338" customFormat="false" ht="12.8" hidden="false" customHeight="false" outlineLevel="0" collapsed="false">
      <c r="A338" s="1" t="s">
        <v>724</v>
      </c>
      <c r="B338" s="10"/>
      <c r="F338" s="2" t="n">
        <v>1</v>
      </c>
      <c r="G338" s="2" t="s">
        <v>20</v>
      </c>
      <c r="H338" s="2" t="s">
        <v>21</v>
      </c>
      <c r="I338" s="2" t="s">
        <v>22</v>
      </c>
      <c r="L338" s="10"/>
      <c r="M338" s="1" t="str">
        <f aca="false">IFERROR(VLOOKUP(L338, suppliers!$A$1:$Z$1000, 2, 0), "Enter a valid uuid in the supplier_uuid column")</f>
        <v>Enter a valid uuid in the supplier_uuid column</v>
      </c>
      <c r="N338" s="5" t="n">
        <v>0.1</v>
      </c>
      <c r="O338" s="2" t="s">
        <v>25</v>
      </c>
    </row>
    <row r="339" customFormat="false" ht="12.8" hidden="false" customHeight="false" outlineLevel="0" collapsed="false">
      <c r="A339" s="1" t="s">
        <v>725</v>
      </c>
      <c r="B339" s="10"/>
      <c r="F339" s="2" t="n">
        <v>1</v>
      </c>
      <c r="G339" s="2" t="s">
        <v>20</v>
      </c>
      <c r="H339" s="2" t="s">
        <v>21</v>
      </c>
      <c r="I339" s="2" t="s">
        <v>22</v>
      </c>
      <c r="L339" s="10"/>
      <c r="M339" s="1" t="str">
        <f aca="false">IFERROR(VLOOKUP(L339, suppliers!$A$1:$Z$1000, 2, 0), "Enter a valid uuid in the supplier_uuid column")</f>
        <v>Enter a valid uuid in the supplier_uuid column</v>
      </c>
      <c r="N339" s="5" t="n">
        <v>0.1</v>
      </c>
      <c r="O339" s="2" t="s">
        <v>25</v>
      </c>
    </row>
    <row r="340" customFormat="false" ht="12.8" hidden="false" customHeight="false" outlineLevel="0" collapsed="false">
      <c r="A340" s="1" t="s">
        <v>726</v>
      </c>
      <c r="B340" s="10"/>
      <c r="F340" s="2" t="n">
        <v>1</v>
      </c>
      <c r="G340" s="2" t="s">
        <v>20</v>
      </c>
      <c r="H340" s="2" t="s">
        <v>21</v>
      </c>
      <c r="I340" s="2" t="s">
        <v>22</v>
      </c>
      <c r="L340" s="10"/>
      <c r="M340" s="1" t="str">
        <f aca="false">IFERROR(VLOOKUP(L340, suppliers!$A$1:$Z$1000, 2, 0), "Enter a valid uuid in the supplier_uuid column")</f>
        <v>Enter a valid uuid in the supplier_uuid column</v>
      </c>
      <c r="N340" s="5" t="n">
        <v>0.1</v>
      </c>
      <c r="O340" s="2" t="s">
        <v>25</v>
      </c>
    </row>
    <row r="341" customFormat="false" ht="12.8" hidden="false" customHeight="false" outlineLevel="0" collapsed="false">
      <c r="A341" s="1" t="s">
        <v>727</v>
      </c>
      <c r="B341" s="10"/>
      <c r="F341" s="2" t="n">
        <v>1</v>
      </c>
      <c r="G341" s="2" t="s">
        <v>20</v>
      </c>
      <c r="H341" s="2" t="s">
        <v>21</v>
      </c>
      <c r="I341" s="2" t="s">
        <v>22</v>
      </c>
      <c r="L341" s="10"/>
      <c r="M341" s="1" t="str">
        <f aca="false">IFERROR(VLOOKUP(L341, suppliers!$A$1:$Z$1000, 2, 0), "Enter a valid uuid in the supplier_uuid column")</f>
        <v>Enter a valid uuid in the supplier_uuid column</v>
      </c>
      <c r="N341" s="5" t="n">
        <v>0.1</v>
      </c>
      <c r="O341" s="2" t="s">
        <v>25</v>
      </c>
    </row>
    <row r="342" customFormat="false" ht="12.8" hidden="false" customHeight="false" outlineLevel="0" collapsed="false">
      <c r="A342" s="1" t="s">
        <v>728</v>
      </c>
      <c r="B342" s="10"/>
      <c r="F342" s="2" t="n">
        <v>1</v>
      </c>
      <c r="G342" s="2" t="s">
        <v>20</v>
      </c>
      <c r="H342" s="2" t="s">
        <v>21</v>
      </c>
      <c r="I342" s="2" t="s">
        <v>22</v>
      </c>
      <c r="L342" s="10"/>
      <c r="M342" s="1" t="str">
        <f aca="false">IFERROR(VLOOKUP(L342, suppliers!$A$1:$Z$1000, 2, 0), "Enter a valid uuid in the supplier_uuid column")</f>
        <v>Enter a valid uuid in the supplier_uuid column</v>
      </c>
      <c r="N342" s="5" t="n">
        <v>0.1</v>
      </c>
      <c r="O342" s="2" t="s">
        <v>25</v>
      </c>
    </row>
    <row r="343" customFormat="false" ht="12.8" hidden="false" customHeight="false" outlineLevel="0" collapsed="false">
      <c r="A343" s="1" t="s">
        <v>729</v>
      </c>
      <c r="B343" s="10"/>
      <c r="F343" s="2" t="n">
        <v>1</v>
      </c>
      <c r="G343" s="2" t="s">
        <v>20</v>
      </c>
      <c r="H343" s="2" t="s">
        <v>21</v>
      </c>
      <c r="I343" s="2" t="s">
        <v>22</v>
      </c>
      <c r="L343" s="10"/>
      <c r="M343" s="1" t="str">
        <f aca="false">IFERROR(VLOOKUP(L343, suppliers!$A$1:$Z$1000, 2, 0), "Enter a valid uuid in the supplier_uuid column")</f>
        <v>Enter a valid uuid in the supplier_uuid column</v>
      </c>
      <c r="N343" s="5" t="n">
        <v>0.1</v>
      </c>
      <c r="O343" s="2" t="s">
        <v>25</v>
      </c>
    </row>
    <row r="344" customFormat="false" ht="12.8" hidden="false" customHeight="false" outlineLevel="0" collapsed="false">
      <c r="A344" s="1" t="s">
        <v>730</v>
      </c>
      <c r="B344" s="10"/>
      <c r="F344" s="2" t="n">
        <v>1</v>
      </c>
      <c r="G344" s="2" t="s">
        <v>20</v>
      </c>
      <c r="H344" s="2" t="s">
        <v>21</v>
      </c>
      <c r="I344" s="2" t="s">
        <v>22</v>
      </c>
      <c r="L344" s="10"/>
      <c r="M344" s="1" t="str">
        <f aca="false">IFERROR(VLOOKUP(L344, suppliers!$A$1:$Z$1000, 2, 0), "Enter a valid uuid in the supplier_uuid column")</f>
        <v>Enter a valid uuid in the supplier_uuid column</v>
      </c>
      <c r="N344" s="5" t="n">
        <v>0.1</v>
      </c>
      <c r="O344" s="2" t="s">
        <v>25</v>
      </c>
    </row>
    <row r="345" customFormat="false" ht="12.8" hidden="false" customHeight="false" outlineLevel="0" collapsed="false">
      <c r="A345" s="1" t="s">
        <v>731</v>
      </c>
      <c r="B345" s="10"/>
      <c r="F345" s="2" t="n">
        <v>1</v>
      </c>
      <c r="G345" s="2" t="s">
        <v>20</v>
      </c>
      <c r="H345" s="2" t="s">
        <v>21</v>
      </c>
      <c r="I345" s="2" t="s">
        <v>22</v>
      </c>
      <c r="L345" s="10"/>
      <c r="M345" s="1" t="str">
        <f aca="false">IFERROR(VLOOKUP(L345, suppliers!$A$1:$Z$1000, 2, 0), "Enter a valid uuid in the supplier_uuid column")</f>
        <v>Enter a valid uuid in the supplier_uuid column</v>
      </c>
      <c r="N345" s="5" t="n">
        <v>0.1</v>
      </c>
      <c r="O345" s="2" t="s">
        <v>25</v>
      </c>
    </row>
    <row r="346" customFormat="false" ht="12.8" hidden="false" customHeight="false" outlineLevel="0" collapsed="false">
      <c r="A346" s="1" t="s">
        <v>732</v>
      </c>
      <c r="B346" s="10"/>
      <c r="F346" s="2" t="n">
        <v>1</v>
      </c>
      <c r="G346" s="2" t="s">
        <v>20</v>
      </c>
      <c r="H346" s="2" t="s">
        <v>21</v>
      </c>
      <c r="I346" s="2" t="s">
        <v>22</v>
      </c>
      <c r="L346" s="10"/>
      <c r="M346" s="1" t="str">
        <f aca="false">IFERROR(VLOOKUP(L346, suppliers!$A$1:$Z$1000, 2, 0), "Enter a valid uuid in the supplier_uuid column")</f>
        <v>Enter a valid uuid in the supplier_uuid column</v>
      </c>
      <c r="N346" s="5" t="n">
        <v>0.1</v>
      </c>
      <c r="O346" s="2" t="s">
        <v>25</v>
      </c>
    </row>
    <row r="347" customFormat="false" ht="12.8" hidden="false" customHeight="false" outlineLevel="0" collapsed="false">
      <c r="A347" s="1" t="s">
        <v>733</v>
      </c>
      <c r="B347" s="10"/>
      <c r="F347" s="2" t="n">
        <v>1</v>
      </c>
      <c r="G347" s="2" t="s">
        <v>20</v>
      </c>
      <c r="H347" s="2" t="s">
        <v>21</v>
      </c>
      <c r="I347" s="2" t="s">
        <v>22</v>
      </c>
      <c r="L347" s="10"/>
      <c r="M347" s="1" t="str">
        <f aca="false">IFERROR(VLOOKUP(L347, suppliers!$A$1:$Z$1000, 2, 0), "Enter a valid uuid in the supplier_uuid column")</f>
        <v>Enter a valid uuid in the supplier_uuid column</v>
      </c>
      <c r="N347" s="5" t="n">
        <v>0.1</v>
      </c>
      <c r="O347" s="2" t="s">
        <v>25</v>
      </c>
    </row>
    <row r="348" customFormat="false" ht="12.8" hidden="false" customHeight="false" outlineLevel="0" collapsed="false">
      <c r="A348" s="1" t="s">
        <v>734</v>
      </c>
      <c r="B348" s="10"/>
      <c r="F348" s="2" t="n">
        <v>1</v>
      </c>
      <c r="G348" s="2" t="s">
        <v>20</v>
      </c>
      <c r="H348" s="2" t="s">
        <v>21</v>
      </c>
      <c r="I348" s="2" t="s">
        <v>22</v>
      </c>
      <c r="L348" s="10"/>
      <c r="M348" s="1" t="str">
        <f aca="false">IFERROR(VLOOKUP(L348, suppliers!$A$1:$Z$1000, 2, 0), "Enter a valid uuid in the supplier_uuid column")</f>
        <v>Enter a valid uuid in the supplier_uuid column</v>
      </c>
      <c r="N348" s="5" t="n">
        <v>0.1</v>
      </c>
      <c r="O348" s="2" t="s">
        <v>25</v>
      </c>
    </row>
    <row r="349" customFormat="false" ht="12.8" hidden="false" customHeight="false" outlineLevel="0" collapsed="false">
      <c r="A349" s="1" t="s">
        <v>735</v>
      </c>
      <c r="B349" s="10"/>
      <c r="F349" s="2" t="n">
        <v>1</v>
      </c>
      <c r="G349" s="2" t="s">
        <v>20</v>
      </c>
      <c r="H349" s="2" t="s">
        <v>21</v>
      </c>
      <c r="I349" s="2" t="s">
        <v>22</v>
      </c>
      <c r="L349" s="10"/>
      <c r="M349" s="1" t="str">
        <f aca="false">IFERROR(VLOOKUP(L349, suppliers!$A$1:$Z$1000, 2, 0), "Enter a valid uuid in the supplier_uuid column")</f>
        <v>Enter a valid uuid in the supplier_uuid column</v>
      </c>
      <c r="N349" s="5" t="n">
        <v>0.1</v>
      </c>
      <c r="O349" s="2" t="s">
        <v>25</v>
      </c>
    </row>
    <row r="350" customFormat="false" ht="12.8" hidden="false" customHeight="false" outlineLevel="0" collapsed="false">
      <c r="A350" s="1" t="s">
        <v>736</v>
      </c>
      <c r="B350" s="10"/>
      <c r="F350" s="2" t="n">
        <v>1</v>
      </c>
      <c r="G350" s="2" t="s">
        <v>20</v>
      </c>
      <c r="H350" s="2" t="s">
        <v>21</v>
      </c>
      <c r="I350" s="2" t="s">
        <v>22</v>
      </c>
      <c r="L350" s="10"/>
      <c r="M350" s="1" t="str">
        <f aca="false">IFERROR(VLOOKUP(L350, suppliers!$A$1:$Z$1000, 2, 0), "Enter a valid uuid in the supplier_uuid column")</f>
        <v>Enter a valid uuid in the supplier_uuid column</v>
      </c>
      <c r="N350" s="5" t="n">
        <v>0.1</v>
      </c>
      <c r="O350" s="2" t="s">
        <v>25</v>
      </c>
    </row>
    <row r="351" customFormat="false" ht="12.8" hidden="false" customHeight="false" outlineLevel="0" collapsed="false">
      <c r="A351" s="1" t="s">
        <v>737</v>
      </c>
      <c r="B351" s="10"/>
      <c r="F351" s="2" t="n">
        <v>1</v>
      </c>
      <c r="G351" s="2" t="s">
        <v>20</v>
      </c>
      <c r="H351" s="2" t="s">
        <v>21</v>
      </c>
      <c r="I351" s="2" t="s">
        <v>22</v>
      </c>
      <c r="L351" s="10"/>
      <c r="M351" s="1" t="str">
        <f aca="false">IFERROR(VLOOKUP(L351, suppliers!$A$1:$Z$1000, 2, 0), "Enter a valid uuid in the supplier_uuid column")</f>
        <v>Enter a valid uuid in the supplier_uuid column</v>
      </c>
      <c r="N351" s="5" t="n">
        <v>0.1</v>
      </c>
      <c r="O351" s="2" t="s">
        <v>25</v>
      </c>
    </row>
    <row r="352" customFormat="false" ht="12.8" hidden="false" customHeight="false" outlineLevel="0" collapsed="false">
      <c r="A352" s="1" t="s">
        <v>738</v>
      </c>
      <c r="B352" s="10"/>
      <c r="F352" s="2" t="n">
        <v>1</v>
      </c>
      <c r="G352" s="2" t="s">
        <v>20</v>
      </c>
      <c r="H352" s="2" t="s">
        <v>21</v>
      </c>
      <c r="I352" s="2" t="s">
        <v>22</v>
      </c>
      <c r="L352" s="10"/>
      <c r="M352" s="1" t="str">
        <f aca="false">IFERROR(VLOOKUP(L352, suppliers!$A$1:$Z$1000, 2, 0), "Enter a valid uuid in the supplier_uuid column")</f>
        <v>Enter a valid uuid in the supplier_uuid column</v>
      </c>
      <c r="N352" s="5" t="n">
        <v>0.1</v>
      </c>
      <c r="O352" s="2" t="s">
        <v>25</v>
      </c>
    </row>
    <row r="353" customFormat="false" ht="12.8" hidden="false" customHeight="false" outlineLevel="0" collapsed="false">
      <c r="A353" s="1" t="s">
        <v>739</v>
      </c>
      <c r="B353" s="10"/>
      <c r="F353" s="2" t="n">
        <v>1</v>
      </c>
      <c r="G353" s="2" t="s">
        <v>20</v>
      </c>
      <c r="H353" s="2" t="s">
        <v>21</v>
      </c>
      <c r="I353" s="2" t="s">
        <v>22</v>
      </c>
      <c r="L353" s="10"/>
      <c r="M353" s="1" t="str">
        <f aca="false">IFERROR(VLOOKUP(L353, suppliers!$A$1:$Z$1000, 2, 0), "Enter a valid uuid in the supplier_uuid column")</f>
        <v>Enter a valid uuid in the supplier_uuid column</v>
      </c>
      <c r="N353" s="5" t="n">
        <v>0.1</v>
      </c>
      <c r="O353" s="2" t="s">
        <v>25</v>
      </c>
    </row>
    <row r="354" customFormat="false" ht="12.8" hidden="false" customHeight="false" outlineLevel="0" collapsed="false">
      <c r="A354" s="1" t="s">
        <v>740</v>
      </c>
      <c r="B354" s="10"/>
      <c r="F354" s="2" t="n">
        <v>1</v>
      </c>
      <c r="G354" s="2" t="s">
        <v>20</v>
      </c>
      <c r="H354" s="2" t="s">
        <v>21</v>
      </c>
      <c r="I354" s="2" t="s">
        <v>22</v>
      </c>
      <c r="L354" s="10"/>
      <c r="M354" s="1" t="str">
        <f aca="false">IFERROR(VLOOKUP(L354, suppliers!$A$1:$Z$1000, 2, 0), "Enter a valid uuid in the supplier_uuid column")</f>
        <v>Enter a valid uuid in the supplier_uuid column</v>
      </c>
      <c r="N354" s="5" t="n">
        <v>0.1</v>
      </c>
      <c r="O354" s="2" t="s">
        <v>25</v>
      </c>
    </row>
    <row r="355" customFormat="false" ht="12.8" hidden="false" customHeight="false" outlineLevel="0" collapsed="false">
      <c r="A355" s="1" t="s">
        <v>741</v>
      </c>
      <c r="B355" s="10"/>
      <c r="F355" s="2" t="n">
        <v>1</v>
      </c>
      <c r="G355" s="2" t="s">
        <v>20</v>
      </c>
      <c r="H355" s="2" t="s">
        <v>21</v>
      </c>
      <c r="I355" s="2" t="s">
        <v>22</v>
      </c>
      <c r="L355" s="10"/>
      <c r="M355" s="1" t="str">
        <f aca="false">IFERROR(VLOOKUP(L355, suppliers!$A$1:$Z$1000, 2, 0), "Enter a valid uuid in the supplier_uuid column")</f>
        <v>Enter a valid uuid in the supplier_uuid column</v>
      </c>
      <c r="N355" s="5" t="n">
        <v>0.1</v>
      </c>
      <c r="O355" s="2" t="s">
        <v>25</v>
      </c>
    </row>
    <row r="356" customFormat="false" ht="12.8" hidden="false" customHeight="false" outlineLevel="0" collapsed="false">
      <c r="A356" s="1" t="s">
        <v>742</v>
      </c>
      <c r="B356" s="10"/>
      <c r="F356" s="2" t="n">
        <v>1</v>
      </c>
      <c r="G356" s="2" t="s">
        <v>20</v>
      </c>
      <c r="H356" s="2" t="s">
        <v>21</v>
      </c>
      <c r="I356" s="2" t="s">
        <v>22</v>
      </c>
      <c r="L356" s="10"/>
      <c r="M356" s="1" t="str">
        <f aca="false">IFERROR(VLOOKUP(L356, suppliers!$A$1:$Z$1000, 2, 0), "Enter a valid uuid in the supplier_uuid column")</f>
        <v>Enter a valid uuid in the supplier_uuid column</v>
      </c>
      <c r="N356" s="5" t="n">
        <v>0.1</v>
      </c>
      <c r="O356" s="2" t="s">
        <v>25</v>
      </c>
    </row>
    <row r="357" customFormat="false" ht="12.8" hidden="false" customHeight="false" outlineLevel="0" collapsed="false">
      <c r="A357" s="1" t="s">
        <v>743</v>
      </c>
      <c r="B357" s="10"/>
      <c r="F357" s="2" t="n">
        <v>1</v>
      </c>
      <c r="G357" s="2" t="s">
        <v>20</v>
      </c>
      <c r="H357" s="2" t="s">
        <v>21</v>
      </c>
      <c r="I357" s="2" t="s">
        <v>22</v>
      </c>
      <c r="L357" s="10"/>
      <c r="M357" s="1" t="str">
        <f aca="false">IFERROR(VLOOKUP(L357, suppliers!$A$1:$Z$1000, 2, 0), "Enter a valid uuid in the supplier_uuid column")</f>
        <v>Enter a valid uuid in the supplier_uuid column</v>
      </c>
      <c r="N357" s="5" t="n">
        <v>0.1</v>
      </c>
      <c r="O357" s="2" t="s">
        <v>25</v>
      </c>
    </row>
    <row r="358" customFormat="false" ht="12.8" hidden="false" customHeight="false" outlineLevel="0" collapsed="false">
      <c r="A358" s="1" t="s">
        <v>744</v>
      </c>
      <c r="B358" s="10"/>
      <c r="F358" s="2" t="n">
        <v>1</v>
      </c>
      <c r="G358" s="2" t="s">
        <v>20</v>
      </c>
      <c r="H358" s="2" t="s">
        <v>21</v>
      </c>
      <c r="I358" s="2" t="s">
        <v>22</v>
      </c>
      <c r="L358" s="10"/>
      <c r="M358" s="1" t="str">
        <f aca="false">IFERROR(VLOOKUP(L358, suppliers!$A$1:$Z$1000, 2, 0), "Enter a valid uuid in the supplier_uuid column")</f>
        <v>Enter a valid uuid in the supplier_uuid column</v>
      </c>
      <c r="N358" s="5" t="n">
        <v>0.1</v>
      </c>
      <c r="O358" s="2" t="s">
        <v>25</v>
      </c>
    </row>
    <row r="359" customFormat="false" ht="12.8" hidden="false" customHeight="false" outlineLevel="0" collapsed="false">
      <c r="A359" s="1" t="s">
        <v>745</v>
      </c>
      <c r="B359" s="10"/>
      <c r="F359" s="2" t="n">
        <v>1</v>
      </c>
      <c r="G359" s="2" t="s">
        <v>20</v>
      </c>
      <c r="H359" s="2" t="s">
        <v>21</v>
      </c>
      <c r="I359" s="2" t="s">
        <v>22</v>
      </c>
      <c r="L359" s="10"/>
      <c r="M359" s="1" t="str">
        <f aca="false">IFERROR(VLOOKUP(L359, suppliers!$A$1:$Z$1000, 2, 0), "Enter a valid uuid in the supplier_uuid column")</f>
        <v>Enter a valid uuid in the supplier_uuid column</v>
      </c>
      <c r="N359" s="5" t="n">
        <v>0.1</v>
      </c>
      <c r="O359" s="2" t="s">
        <v>25</v>
      </c>
    </row>
    <row r="360" customFormat="false" ht="12.8" hidden="false" customHeight="false" outlineLevel="0" collapsed="false">
      <c r="A360" s="1" t="s">
        <v>746</v>
      </c>
      <c r="B360" s="10"/>
      <c r="F360" s="2" t="n">
        <v>1</v>
      </c>
      <c r="G360" s="2" t="s">
        <v>20</v>
      </c>
      <c r="H360" s="2" t="s">
        <v>21</v>
      </c>
      <c r="I360" s="2" t="s">
        <v>22</v>
      </c>
      <c r="L360" s="10"/>
      <c r="M360" s="1" t="str">
        <f aca="false">IFERROR(VLOOKUP(L360, suppliers!$A$1:$Z$1000, 2, 0), "Enter a valid uuid in the supplier_uuid column")</f>
        <v>Enter a valid uuid in the supplier_uuid column</v>
      </c>
      <c r="N360" s="5" t="n">
        <v>0.1</v>
      </c>
      <c r="O360" s="2" t="s">
        <v>25</v>
      </c>
    </row>
    <row r="361" customFormat="false" ht="12.8" hidden="false" customHeight="false" outlineLevel="0" collapsed="false">
      <c r="A361" s="1" t="s">
        <v>747</v>
      </c>
      <c r="B361" s="10"/>
      <c r="F361" s="2" t="n">
        <v>1</v>
      </c>
      <c r="G361" s="2" t="s">
        <v>20</v>
      </c>
      <c r="H361" s="2" t="s">
        <v>21</v>
      </c>
      <c r="I361" s="2" t="s">
        <v>22</v>
      </c>
      <c r="L361" s="10"/>
      <c r="M361" s="1" t="str">
        <f aca="false">IFERROR(VLOOKUP(L361, suppliers!$A$1:$Z$1000, 2, 0), "Enter a valid uuid in the supplier_uuid column")</f>
        <v>Enter a valid uuid in the supplier_uuid column</v>
      </c>
      <c r="N361" s="5" t="n">
        <v>0.1</v>
      </c>
      <c r="O361" s="2" t="s">
        <v>25</v>
      </c>
    </row>
    <row r="362" customFormat="false" ht="12.8" hidden="false" customHeight="false" outlineLevel="0" collapsed="false">
      <c r="A362" s="1" t="s">
        <v>748</v>
      </c>
      <c r="B362" s="10"/>
      <c r="F362" s="2" t="n">
        <v>1</v>
      </c>
      <c r="G362" s="2" t="s">
        <v>20</v>
      </c>
      <c r="H362" s="2" t="s">
        <v>21</v>
      </c>
      <c r="I362" s="2" t="s">
        <v>22</v>
      </c>
      <c r="L362" s="10"/>
      <c r="M362" s="1" t="str">
        <f aca="false">IFERROR(VLOOKUP(L362, suppliers!$A$1:$Z$1000, 2, 0), "Enter a valid uuid in the supplier_uuid column")</f>
        <v>Enter a valid uuid in the supplier_uuid column</v>
      </c>
      <c r="N362" s="5" t="n">
        <v>0.1</v>
      </c>
      <c r="O362" s="2" t="s">
        <v>25</v>
      </c>
    </row>
    <row r="363" customFormat="false" ht="12.8" hidden="false" customHeight="false" outlineLevel="0" collapsed="false">
      <c r="A363" s="1" t="s">
        <v>749</v>
      </c>
      <c r="B363" s="10"/>
      <c r="F363" s="2" t="n">
        <v>1</v>
      </c>
      <c r="G363" s="2" t="s">
        <v>20</v>
      </c>
      <c r="H363" s="2" t="s">
        <v>21</v>
      </c>
      <c r="I363" s="2" t="s">
        <v>22</v>
      </c>
      <c r="L363" s="10"/>
      <c r="M363" s="1" t="str">
        <f aca="false">IFERROR(VLOOKUP(L363, suppliers!$A$1:$Z$1000, 2, 0), "Enter a valid uuid in the supplier_uuid column")</f>
        <v>Enter a valid uuid in the supplier_uuid column</v>
      </c>
      <c r="N363" s="5" t="n">
        <v>0.1</v>
      </c>
      <c r="O363" s="2" t="s">
        <v>25</v>
      </c>
    </row>
    <row r="364" customFormat="false" ht="12.8" hidden="false" customHeight="false" outlineLevel="0" collapsed="false">
      <c r="A364" s="1" t="s">
        <v>750</v>
      </c>
      <c r="B364" s="10"/>
      <c r="F364" s="2" t="n">
        <v>1</v>
      </c>
      <c r="G364" s="2" t="s">
        <v>20</v>
      </c>
      <c r="H364" s="2" t="s">
        <v>21</v>
      </c>
      <c r="I364" s="2" t="s">
        <v>22</v>
      </c>
      <c r="L364" s="10"/>
      <c r="M364" s="1" t="str">
        <f aca="false">IFERROR(VLOOKUP(L364, suppliers!$A$1:$Z$1000, 2, 0), "Enter a valid uuid in the supplier_uuid column")</f>
        <v>Enter a valid uuid in the supplier_uuid column</v>
      </c>
      <c r="N364" s="5" t="n">
        <v>0.1</v>
      </c>
      <c r="O364" s="2" t="s">
        <v>25</v>
      </c>
    </row>
    <row r="365" customFormat="false" ht="12.8" hidden="false" customHeight="false" outlineLevel="0" collapsed="false">
      <c r="A365" s="1" t="s">
        <v>751</v>
      </c>
      <c r="B365" s="10"/>
      <c r="F365" s="2" t="n">
        <v>1</v>
      </c>
      <c r="G365" s="2" t="s">
        <v>20</v>
      </c>
      <c r="H365" s="2" t="s">
        <v>21</v>
      </c>
      <c r="I365" s="2" t="s">
        <v>22</v>
      </c>
      <c r="L365" s="10"/>
      <c r="M365" s="1" t="str">
        <f aca="false">IFERROR(VLOOKUP(L365, suppliers!$A$1:$Z$1000, 2, 0), "Enter a valid uuid in the supplier_uuid column")</f>
        <v>Enter a valid uuid in the supplier_uuid column</v>
      </c>
      <c r="N365" s="5" t="n">
        <v>0.1</v>
      </c>
      <c r="O365" s="2" t="s">
        <v>25</v>
      </c>
    </row>
    <row r="366" customFormat="false" ht="12.8" hidden="false" customHeight="false" outlineLevel="0" collapsed="false">
      <c r="A366" s="1" t="s">
        <v>752</v>
      </c>
      <c r="B366" s="10"/>
      <c r="F366" s="2" t="n">
        <v>1</v>
      </c>
      <c r="G366" s="2" t="s">
        <v>20</v>
      </c>
      <c r="H366" s="2" t="s">
        <v>21</v>
      </c>
      <c r="I366" s="2" t="s">
        <v>22</v>
      </c>
      <c r="L366" s="10"/>
      <c r="M366" s="1" t="str">
        <f aca="false">IFERROR(VLOOKUP(L366, suppliers!$A$1:$Z$1000, 2, 0), "Enter a valid uuid in the supplier_uuid column")</f>
        <v>Enter a valid uuid in the supplier_uuid column</v>
      </c>
      <c r="N366" s="5" t="n">
        <v>0.1</v>
      </c>
      <c r="O366" s="2" t="s">
        <v>25</v>
      </c>
    </row>
    <row r="367" customFormat="false" ht="12.8" hidden="false" customHeight="false" outlineLevel="0" collapsed="false">
      <c r="A367" s="1" t="s">
        <v>753</v>
      </c>
      <c r="B367" s="10"/>
      <c r="F367" s="2" t="n">
        <v>1</v>
      </c>
      <c r="G367" s="2" t="s">
        <v>20</v>
      </c>
      <c r="H367" s="2" t="s">
        <v>21</v>
      </c>
      <c r="I367" s="2" t="s">
        <v>22</v>
      </c>
      <c r="L367" s="10"/>
      <c r="M367" s="1" t="str">
        <f aca="false">IFERROR(VLOOKUP(L367, suppliers!$A$1:$Z$1000, 2, 0), "Enter a valid uuid in the supplier_uuid column")</f>
        <v>Enter a valid uuid in the supplier_uuid column</v>
      </c>
      <c r="N367" s="5" t="n">
        <v>0.1</v>
      </c>
      <c r="O367" s="2" t="s">
        <v>25</v>
      </c>
    </row>
    <row r="368" customFormat="false" ht="12.8" hidden="false" customHeight="false" outlineLevel="0" collapsed="false">
      <c r="A368" s="1" t="s">
        <v>754</v>
      </c>
      <c r="B368" s="10"/>
      <c r="F368" s="2" t="n">
        <v>1</v>
      </c>
      <c r="G368" s="2" t="s">
        <v>20</v>
      </c>
      <c r="H368" s="2" t="s">
        <v>21</v>
      </c>
      <c r="I368" s="2" t="s">
        <v>22</v>
      </c>
      <c r="L368" s="10"/>
      <c r="M368" s="1" t="str">
        <f aca="false">IFERROR(VLOOKUP(L368, suppliers!$A$1:$Z$1000, 2, 0), "Enter a valid uuid in the supplier_uuid column")</f>
        <v>Enter a valid uuid in the supplier_uuid column</v>
      </c>
      <c r="N368" s="5" t="n">
        <v>0.1</v>
      </c>
      <c r="O368" s="2" t="s">
        <v>25</v>
      </c>
    </row>
    <row r="369" customFormat="false" ht="12.8" hidden="false" customHeight="false" outlineLevel="0" collapsed="false">
      <c r="A369" s="1" t="s">
        <v>755</v>
      </c>
      <c r="B369" s="10"/>
      <c r="F369" s="2" t="n">
        <v>1</v>
      </c>
      <c r="G369" s="2" t="s">
        <v>20</v>
      </c>
      <c r="H369" s="2" t="s">
        <v>21</v>
      </c>
      <c r="I369" s="2" t="s">
        <v>22</v>
      </c>
      <c r="L369" s="10"/>
      <c r="M369" s="1" t="str">
        <f aca="false">IFERROR(VLOOKUP(L369, suppliers!$A$1:$Z$1000, 2, 0), "Enter a valid uuid in the supplier_uuid column")</f>
        <v>Enter a valid uuid in the supplier_uuid column</v>
      </c>
      <c r="N369" s="5" t="n">
        <v>0.1</v>
      </c>
      <c r="O369" s="2" t="s">
        <v>25</v>
      </c>
    </row>
    <row r="370" customFormat="false" ht="12.8" hidden="false" customHeight="false" outlineLevel="0" collapsed="false">
      <c r="A370" s="1" t="s">
        <v>756</v>
      </c>
      <c r="B370" s="10"/>
      <c r="F370" s="2" t="n">
        <v>1</v>
      </c>
      <c r="G370" s="2" t="s">
        <v>20</v>
      </c>
      <c r="H370" s="2" t="s">
        <v>21</v>
      </c>
      <c r="I370" s="2" t="s">
        <v>22</v>
      </c>
      <c r="L370" s="10"/>
      <c r="M370" s="1" t="str">
        <f aca="false">IFERROR(VLOOKUP(L370, suppliers!$A$1:$Z$1000, 2, 0), "Enter a valid uuid in the supplier_uuid column")</f>
        <v>Enter a valid uuid in the supplier_uuid column</v>
      </c>
      <c r="N370" s="5" t="n">
        <v>0.1</v>
      </c>
      <c r="O370" s="2" t="s">
        <v>25</v>
      </c>
    </row>
    <row r="371" customFormat="false" ht="12.8" hidden="false" customHeight="false" outlineLevel="0" collapsed="false">
      <c r="A371" s="1" t="s">
        <v>757</v>
      </c>
      <c r="B371" s="10"/>
      <c r="F371" s="2" t="n">
        <v>1</v>
      </c>
      <c r="G371" s="2" t="s">
        <v>20</v>
      </c>
      <c r="H371" s="2" t="s">
        <v>21</v>
      </c>
      <c r="I371" s="2" t="s">
        <v>22</v>
      </c>
      <c r="L371" s="10"/>
      <c r="M371" s="1" t="str">
        <f aca="false">IFERROR(VLOOKUP(L371, suppliers!$A$1:$Z$1000, 2, 0), "Enter a valid uuid in the supplier_uuid column")</f>
        <v>Enter a valid uuid in the supplier_uuid column</v>
      </c>
      <c r="N371" s="5" t="n">
        <v>0.1</v>
      </c>
      <c r="O371" s="2" t="s">
        <v>25</v>
      </c>
    </row>
    <row r="372" customFormat="false" ht="12.8" hidden="false" customHeight="false" outlineLevel="0" collapsed="false">
      <c r="A372" s="1" t="s">
        <v>758</v>
      </c>
      <c r="B372" s="10"/>
      <c r="F372" s="2" t="n">
        <v>1</v>
      </c>
      <c r="G372" s="2" t="s">
        <v>20</v>
      </c>
      <c r="H372" s="2" t="s">
        <v>21</v>
      </c>
      <c r="I372" s="2" t="s">
        <v>22</v>
      </c>
      <c r="L372" s="10"/>
      <c r="M372" s="1" t="str">
        <f aca="false">IFERROR(VLOOKUP(L372, suppliers!$A$1:$Z$1000, 2, 0), "Enter a valid uuid in the supplier_uuid column")</f>
        <v>Enter a valid uuid in the supplier_uuid column</v>
      </c>
      <c r="N372" s="5" t="n">
        <v>0.1</v>
      </c>
      <c r="O372" s="2" t="s">
        <v>25</v>
      </c>
    </row>
    <row r="373" customFormat="false" ht="12.8" hidden="false" customHeight="false" outlineLevel="0" collapsed="false">
      <c r="A373" s="1" t="s">
        <v>759</v>
      </c>
      <c r="B373" s="10"/>
      <c r="F373" s="2" t="n">
        <v>1</v>
      </c>
      <c r="G373" s="2" t="s">
        <v>20</v>
      </c>
      <c r="H373" s="2" t="s">
        <v>21</v>
      </c>
      <c r="I373" s="2" t="s">
        <v>22</v>
      </c>
      <c r="L373" s="10"/>
      <c r="M373" s="1" t="str">
        <f aca="false">IFERROR(VLOOKUP(L373, suppliers!$A$1:$Z$1000, 2, 0), "Enter a valid uuid in the supplier_uuid column")</f>
        <v>Enter a valid uuid in the supplier_uuid column</v>
      </c>
      <c r="N373" s="5" t="n">
        <v>0.1</v>
      </c>
      <c r="O373" s="2" t="s">
        <v>25</v>
      </c>
    </row>
    <row r="374" customFormat="false" ht="12.8" hidden="false" customHeight="false" outlineLevel="0" collapsed="false">
      <c r="A374" s="1" t="s">
        <v>760</v>
      </c>
      <c r="B374" s="10"/>
      <c r="F374" s="2" t="n">
        <v>1</v>
      </c>
      <c r="G374" s="2" t="s">
        <v>20</v>
      </c>
      <c r="H374" s="2" t="s">
        <v>21</v>
      </c>
      <c r="I374" s="2" t="s">
        <v>22</v>
      </c>
      <c r="L374" s="10"/>
      <c r="M374" s="1" t="str">
        <f aca="false">IFERROR(VLOOKUP(L374, suppliers!$A$1:$Z$1000, 2, 0), "Enter a valid uuid in the supplier_uuid column")</f>
        <v>Enter a valid uuid in the supplier_uuid column</v>
      </c>
      <c r="N374" s="5" t="n">
        <v>0.1</v>
      </c>
      <c r="O374" s="2" t="s">
        <v>25</v>
      </c>
    </row>
    <row r="375" customFormat="false" ht="12.8" hidden="false" customHeight="false" outlineLevel="0" collapsed="false">
      <c r="A375" s="1" t="s">
        <v>761</v>
      </c>
      <c r="B375" s="10"/>
      <c r="F375" s="2" t="n">
        <v>1</v>
      </c>
      <c r="G375" s="2" t="s">
        <v>20</v>
      </c>
      <c r="H375" s="2" t="s">
        <v>21</v>
      </c>
      <c r="I375" s="2" t="s">
        <v>22</v>
      </c>
      <c r="L375" s="10"/>
      <c r="M375" s="1" t="str">
        <f aca="false">IFERROR(VLOOKUP(L375, suppliers!$A$1:$Z$1000, 2, 0), "Enter a valid uuid in the supplier_uuid column")</f>
        <v>Enter a valid uuid in the supplier_uuid column</v>
      </c>
      <c r="N375" s="5" t="n">
        <v>0.1</v>
      </c>
      <c r="O375" s="2" t="s">
        <v>25</v>
      </c>
    </row>
    <row r="376" customFormat="false" ht="12.8" hidden="false" customHeight="false" outlineLevel="0" collapsed="false">
      <c r="A376" s="1" t="s">
        <v>762</v>
      </c>
      <c r="B376" s="10"/>
      <c r="F376" s="2" t="n">
        <v>1</v>
      </c>
      <c r="G376" s="2" t="s">
        <v>20</v>
      </c>
      <c r="H376" s="2" t="s">
        <v>21</v>
      </c>
      <c r="I376" s="2" t="s">
        <v>22</v>
      </c>
      <c r="L376" s="10"/>
      <c r="M376" s="1" t="str">
        <f aca="false">IFERROR(VLOOKUP(L376, suppliers!$A$1:$Z$1000, 2, 0), "Enter a valid uuid in the supplier_uuid column")</f>
        <v>Enter a valid uuid in the supplier_uuid column</v>
      </c>
      <c r="N376" s="5" t="n">
        <v>0.1</v>
      </c>
      <c r="O376" s="2" t="s">
        <v>25</v>
      </c>
    </row>
    <row r="377" customFormat="false" ht="12.8" hidden="false" customHeight="false" outlineLevel="0" collapsed="false">
      <c r="A377" s="1" t="s">
        <v>763</v>
      </c>
      <c r="B377" s="10"/>
      <c r="F377" s="2" t="n">
        <v>1</v>
      </c>
      <c r="G377" s="2" t="s">
        <v>20</v>
      </c>
      <c r="H377" s="2" t="s">
        <v>21</v>
      </c>
      <c r="I377" s="2" t="s">
        <v>22</v>
      </c>
      <c r="L377" s="10"/>
      <c r="M377" s="1" t="str">
        <f aca="false">IFERROR(VLOOKUP(L377, suppliers!$A$1:$Z$1000, 2, 0), "Enter a valid uuid in the supplier_uuid column")</f>
        <v>Enter a valid uuid in the supplier_uuid column</v>
      </c>
      <c r="N377" s="5" t="n">
        <v>0.1</v>
      </c>
      <c r="O377" s="2" t="s">
        <v>25</v>
      </c>
    </row>
    <row r="378" customFormat="false" ht="12.8" hidden="false" customHeight="false" outlineLevel="0" collapsed="false">
      <c r="A378" s="1" t="s">
        <v>764</v>
      </c>
      <c r="B378" s="10"/>
      <c r="F378" s="2" t="n">
        <v>1</v>
      </c>
      <c r="G378" s="2" t="s">
        <v>20</v>
      </c>
      <c r="H378" s="2" t="s">
        <v>21</v>
      </c>
      <c r="I378" s="2" t="s">
        <v>22</v>
      </c>
      <c r="L378" s="10"/>
      <c r="M378" s="1" t="str">
        <f aca="false">IFERROR(VLOOKUP(L378, suppliers!$A$1:$Z$1000, 2, 0), "Enter a valid uuid in the supplier_uuid column")</f>
        <v>Enter a valid uuid in the supplier_uuid column</v>
      </c>
      <c r="N378" s="5" t="n">
        <v>0.1</v>
      </c>
      <c r="O378" s="2" t="s">
        <v>25</v>
      </c>
    </row>
    <row r="379" customFormat="false" ht="12.8" hidden="false" customHeight="false" outlineLevel="0" collapsed="false">
      <c r="A379" s="1" t="s">
        <v>765</v>
      </c>
      <c r="B379" s="10"/>
      <c r="F379" s="2" t="n">
        <v>1</v>
      </c>
      <c r="G379" s="2" t="s">
        <v>20</v>
      </c>
      <c r="H379" s="2" t="s">
        <v>21</v>
      </c>
      <c r="I379" s="2" t="s">
        <v>22</v>
      </c>
      <c r="L379" s="10"/>
      <c r="M379" s="1" t="str">
        <f aca="false">IFERROR(VLOOKUP(L379, suppliers!$A$1:$Z$1000, 2, 0), "Enter a valid uuid in the supplier_uuid column")</f>
        <v>Enter a valid uuid in the supplier_uuid column</v>
      </c>
      <c r="N379" s="5" t="n">
        <v>0.1</v>
      </c>
      <c r="O379" s="2" t="s">
        <v>25</v>
      </c>
    </row>
    <row r="380" customFormat="false" ht="12.8" hidden="false" customHeight="false" outlineLevel="0" collapsed="false">
      <c r="A380" s="1" t="s">
        <v>766</v>
      </c>
      <c r="B380" s="10"/>
      <c r="F380" s="2" t="n">
        <v>1</v>
      </c>
      <c r="G380" s="2" t="s">
        <v>20</v>
      </c>
      <c r="H380" s="2" t="s">
        <v>21</v>
      </c>
      <c r="I380" s="2" t="s">
        <v>22</v>
      </c>
      <c r="L380" s="10"/>
      <c r="M380" s="1" t="str">
        <f aca="false">IFERROR(VLOOKUP(L380, suppliers!$A$1:$Z$1000, 2, 0), "Enter a valid uuid in the supplier_uuid column")</f>
        <v>Enter a valid uuid in the supplier_uuid column</v>
      </c>
      <c r="N380" s="5" t="n">
        <v>0.1</v>
      </c>
      <c r="O380" s="2" t="s">
        <v>25</v>
      </c>
    </row>
    <row r="381" customFormat="false" ht="12.8" hidden="false" customHeight="false" outlineLevel="0" collapsed="false">
      <c r="A381" s="1" t="s">
        <v>767</v>
      </c>
      <c r="B381" s="10"/>
      <c r="F381" s="2" t="n">
        <v>1</v>
      </c>
      <c r="G381" s="2" t="s">
        <v>20</v>
      </c>
      <c r="H381" s="2" t="s">
        <v>21</v>
      </c>
      <c r="I381" s="2" t="s">
        <v>22</v>
      </c>
      <c r="L381" s="10"/>
      <c r="M381" s="1" t="str">
        <f aca="false">IFERROR(VLOOKUP(L381, suppliers!$A$1:$Z$1000, 2, 0), "Enter a valid uuid in the supplier_uuid column")</f>
        <v>Enter a valid uuid in the supplier_uuid column</v>
      </c>
      <c r="N381" s="5" t="n">
        <v>0.1</v>
      </c>
      <c r="O381" s="2" t="s">
        <v>25</v>
      </c>
    </row>
    <row r="382" customFormat="false" ht="12.8" hidden="false" customHeight="false" outlineLevel="0" collapsed="false">
      <c r="A382" s="1" t="s">
        <v>768</v>
      </c>
      <c r="B382" s="10"/>
      <c r="F382" s="2" t="n">
        <v>1</v>
      </c>
      <c r="G382" s="2" t="s">
        <v>20</v>
      </c>
      <c r="H382" s="2" t="s">
        <v>21</v>
      </c>
      <c r="I382" s="2" t="s">
        <v>22</v>
      </c>
      <c r="L382" s="10"/>
      <c r="M382" s="1" t="str">
        <f aca="false">IFERROR(VLOOKUP(L382, suppliers!$A$1:$Z$1000, 2, 0), "Enter a valid uuid in the supplier_uuid column")</f>
        <v>Enter a valid uuid in the supplier_uuid column</v>
      </c>
      <c r="N382" s="5" t="n">
        <v>0.1</v>
      </c>
      <c r="O382" s="2" t="s">
        <v>25</v>
      </c>
    </row>
    <row r="383" customFormat="false" ht="12.8" hidden="false" customHeight="false" outlineLevel="0" collapsed="false">
      <c r="A383" s="1" t="s">
        <v>769</v>
      </c>
      <c r="B383" s="10"/>
      <c r="F383" s="2" t="n">
        <v>1</v>
      </c>
      <c r="G383" s="2" t="s">
        <v>20</v>
      </c>
      <c r="H383" s="2" t="s">
        <v>21</v>
      </c>
      <c r="I383" s="2" t="s">
        <v>22</v>
      </c>
      <c r="L383" s="10"/>
      <c r="M383" s="1" t="str">
        <f aca="false">IFERROR(VLOOKUP(L383, suppliers!$A$1:$Z$1000, 2, 0), "Enter a valid uuid in the supplier_uuid column")</f>
        <v>Enter a valid uuid in the supplier_uuid column</v>
      </c>
      <c r="N383" s="5" t="n">
        <v>0.1</v>
      </c>
      <c r="O383" s="2" t="s">
        <v>25</v>
      </c>
    </row>
    <row r="384" customFormat="false" ht="12.8" hidden="false" customHeight="false" outlineLevel="0" collapsed="false">
      <c r="A384" s="1" t="s">
        <v>770</v>
      </c>
      <c r="B384" s="10"/>
      <c r="F384" s="2" t="n">
        <v>1</v>
      </c>
      <c r="G384" s="2" t="s">
        <v>20</v>
      </c>
      <c r="H384" s="2" t="s">
        <v>21</v>
      </c>
      <c r="I384" s="2" t="s">
        <v>22</v>
      </c>
      <c r="L384" s="10"/>
      <c r="M384" s="1" t="str">
        <f aca="false">IFERROR(VLOOKUP(L384, suppliers!$A$1:$Z$1000, 2, 0), "Enter a valid uuid in the supplier_uuid column")</f>
        <v>Enter a valid uuid in the supplier_uuid column</v>
      </c>
      <c r="N384" s="5" t="n">
        <v>0.1</v>
      </c>
      <c r="O384" s="2" t="s">
        <v>25</v>
      </c>
    </row>
    <row r="385" customFormat="false" ht="12.8" hidden="false" customHeight="false" outlineLevel="0" collapsed="false">
      <c r="A385" s="1" t="s">
        <v>771</v>
      </c>
      <c r="B385" s="10"/>
      <c r="F385" s="2" t="n">
        <v>1</v>
      </c>
      <c r="G385" s="2" t="s">
        <v>20</v>
      </c>
      <c r="H385" s="2" t="s">
        <v>21</v>
      </c>
      <c r="I385" s="2" t="s">
        <v>22</v>
      </c>
      <c r="L385" s="10"/>
      <c r="M385" s="1" t="str">
        <f aca="false">IFERROR(VLOOKUP(L385, suppliers!$A$1:$Z$1000, 2, 0), "Enter a valid uuid in the supplier_uuid column")</f>
        <v>Enter a valid uuid in the supplier_uuid column</v>
      </c>
      <c r="N385" s="5" t="n">
        <v>0.1</v>
      </c>
      <c r="O385" s="2" t="s">
        <v>25</v>
      </c>
    </row>
    <row r="386" customFormat="false" ht="12.8" hidden="false" customHeight="false" outlineLevel="0" collapsed="false">
      <c r="A386" s="1" t="s">
        <v>772</v>
      </c>
      <c r="B386" s="10"/>
      <c r="F386" s="2" t="n">
        <v>1</v>
      </c>
      <c r="G386" s="2" t="s">
        <v>20</v>
      </c>
      <c r="H386" s="2" t="s">
        <v>21</v>
      </c>
      <c r="I386" s="2" t="s">
        <v>22</v>
      </c>
      <c r="L386" s="10"/>
      <c r="M386" s="1" t="str">
        <f aca="false">IFERROR(VLOOKUP(L386, suppliers!$A$1:$Z$1000, 2, 0), "Enter a valid uuid in the supplier_uuid column")</f>
        <v>Enter a valid uuid in the supplier_uuid column</v>
      </c>
      <c r="N386" s="5" t="n">
        <v>0.1</v>
      </c>
      <c r="O386" s="2" t="s">
        <v>25</v>
      </c>
    </row>
    <row r="387" customFormat="false" ht="12.8" hidden="false" customHeight="false" outlineLevel="0" collapsed="false">
      <c r="A387" s="1" t="s">
        <v>773</v>
      </c>
      <c r="B387" s="10"/>
      <c r="F387" s="2" t="n">
        <v>1</v>
      </c>
      <c r="G387" s="2" t="s">
        <v>20</v>
      </c>
      <c r="H387" s="2" t="s">
        <v>21</v>
      </c>
      <c r="I387" s="2" t="s">
        <v>22</v>
      </c>
      <c r="L387" s="10"/>
      <c r="M387" s="1" t="str">
        <f aca="false">IFERROR(VLOOKUP(L387, suppliers!$A$1:$Z$1000, 2, 0), "Enter a valid uuid in the supplier_uuid column")</f>
        <v>Enter a valid uuid in the supplier_uuid column</v>
      </c>
      <c r="N387" s="5" t="n">
        <v>0.1</v>
      </c>
      <c r="O387" s="2" t="s">
        <v>25</v>
      </c>
    </row>
    <row r="388" customFormat="false" ht="12.8" hidden="false" customHeight="false" outlineLevel="0" collapsed="false">
      <c r="A388" s="1" t="s">
        <v>774</v>
      </c>
      <c r="B388" s="10"/>
      <c r="F388" s="2" t="n">
        <v>1</v>
      </c>
      <c r="G388" s="2" t="s">
        <v>20</v>
      </c>
      <c r="H388" s="2" t="s">
        <v>21</v>
      </c>
      <c r="I388" s="2" t="s">
        <v>22</v>
      </c>
      <c r="L388" s="10"/>
      <c r="M388" s="1" t="str">
        <f aca="false">IFERROR(VLOOKUP(L388, suppliers!$A$1:$Z$1000, 2, 0), "Enter a valid uuid in the supplier_uuid column")</f>
        <v>Enter a valid uuid in the supplier_uuid column</v>
      </c>
      <c r="N388" s="5" t="n">
        <v>0.1</v>
      </c>
      <c r="O388" s="2" t="s">
        <v>25</v>
      </c>
    </row>
    <row r="389" customFormat="false" ht="12.8" hidden="false" customHeight="false" outlineLevel="0" collapsed="false">
      <c r="A389" s="1" t="s">
        <v>775</v>
      </c>
      <c r="B389" s="10"/>
      <c r="F389" s="2" t="n">
        <v>1</v>
      </c>
      <c r="G389" s="2" t="s">
        <v>20</v>
      </c>
      <c r="H389" s="2" t="s">
        <v>21</v>
      </c>
      <c r="I389" s="2" t="s">
        <v>22</v>
      </c>
      <c r="L389" s="10"/>
      <c r="M389" s="1" t="str">
        <f aca="false">IFERROR(VLOOKUP(L389, suppliers!$A$1:$Z$1000, 2, 0), "Enter a valid uuid in the supplier_uuid column")</f>
        <v>Enter a valid uuid in the supplier_uuid column</v>
      </c>
      <c r="N389" s="5" t="n">
        <v>0.1</v>
      </c>
      <c r="O389" s="2" t="s">
        <v>25</v>
      </c>
    </row>
    <row r="390" customFormat="false" ht="12.8" hidden="false" customHeight="false" outlineLevel="0" collapsed="false">
      <c r="A390" s="1" t="s">
        <v>776</v>
      </c>
      <c r="B390" s="10"/>
      <c r="F390" s="2" t="n">
        <v>1</v>
      </c>
      <c r="G390" s="2" t="s">
        <v>20</v>
      </c>
      <c r="H390" s="2" t="s">
        <v>21</v>
      </c>
      <c r="I390" s="2" t="s">
        <v>22</v>
      </c>
      <c r="L390" s="10"/>
      <c r="M390" s="1" t="str">
        <f aca="false">IFERROR(VLOOKUP(L390, suppliers!$A$1:$Z$1000, 2, 0), "Enter a valid uuid in the supplier_uuid column")</f>
        <v>Enter a valid uuid in the supplier_uuid column</v>
      </c>
      <c r="N390" s="5" t="n">
        <v>0.1</v>
      </c>
      <c r="O390" s="2" t="s">
        <v>25</v>
      </c>
    </row>
    <row r="391" customFormat="false" ht="12.8" hidden="false" customHeight="false" outlineLevel="0" collapsed="false">
      <c r="A391" s="1" t="s">
        <v>777</v>
      </c>
      <c r="B391" s="10"/>
      <c r="F391" s="2" t="n">
        <v>1</v>
      </c>
      <c r="G391" s="2" t="s">
        <v>20</v>
      </c>
      <c r="H391" s="2" t="s">
        <v>21</v>
      </c>
      <c r="I391" s="2" t="s">
        <v>22</v>
      </c>
      <c r="L391" s="10"/>
      <c r="M391" s="1" t="str">
        <f aca="false">IFERROR(VLOOKUP(L391, suppliers!$A$1:$Z$1000, 2, 0), "Enter a valid uuid in the supplier_uuid column")</f>
        <v>Enter a valid uuid in the supplier_uuid column</v>
      </c>
      <c r="N391" s="5" t="n">
        <v>0.1</v>
      </c>
      <c r="O391" s="2" t="s">
        <v>25</v>
      </c>
    </row>
    <row r="392" customFormat="false" ht="12.8" hidden="false" customHeight="false" outlineLevel="0" collapsed="false">
      <c r="A392" s="1" t="s">
        <v>778</v>
      </c>
      <c r="B392" s="10"/>
      <c r="F392" s="2" t="n">
        <v>1</v>
      </c>
      <c r="G392" s="2" t="s">
        <v>20</v>
      </c>
      <c r="H392" s="2" t="s">
        <v>21</v>
      </c>
      <c r="I392" s="2" t="s">
        <v>22</v>
      </c>
      <c r="L392" s="10"/>
      <c r="M392" s="1" t="str">
        <f aca="false">IFERROR(VLOOKUP(L392, suppliers!$A$1:$Z$1000, 2, 0), "Enter a valid uuid in the supplier_uuid column")</f>
        <v>Enter a valid uuid in the supplier_uuid column</v>
      </c>
      <c r="N392" s="5" t="n">
        <v>0.1</v>
      </c>
      <c r="O392" s="2" t="s">
        <v>25</v>
      </c>
    </row>
    <row r="393" customFormat="false" ht="12.8" hidden="false" customHeight="false" outlineLevel="0" collapsed="false">
      <c r="A393" s="1" t="s">
        <v>779</v>
      </c>
      <c r="B393" s="10"/>
      <c r="F393" s="2" t="n">
        <v>1</v>
      </c>
      <c r="G393" s="2" t="s">
        <v>20</v>
      </c>
      <c r="H393" s="2" t="s">
        <v>21</v>
      </c>
      <c r="I393" s="2" t="s">
        <v>22</v>
      </c>
      <c r="L393" s="10"/>
      <c r="M393" s="1" t="str">
        <f aca="false">IFERROR(VLOOKUP(L393, suppliers!$A$1:$Z$1000, 2, 0), "Enter a valid uuid in the supplier_uuid column")</f>
        <v>Enter a valid uuid in the supplier_uuid column</v>
      </c>
      <c r="N393" s="5" t="n">
        <v>0.1</v>
      </c>
      <c r="O393" s="2" t="s">
        <v>25</v>
      </c>
    </row>
    <row r="394" customFormat="false" ht="12.8" hidden="false" customHeight="false" outlineLevel="0" collapsed="false">
      <c r="A394" s="1" t="s">
        <v>780</v>
      </c>
      <c r="B394" s="10"/>
      <c r="F394" s="2" t="n">
        <v>1</v>
      </c>
      <c r="G394" s="2" t="s">
        <v>20</v>
      </c>
      <c r="H394" s="2" t="s">
        <v>21</v>
      </c>
      <c r="I394" s="2" t="s">
        <v>22</v>
      </c>
      <c r="L394" s="10"/>
      <c r="M394" s="1" t="str">
        <f aca="false">IFERROR(VLOOKUP(L394, suppliers!$A$1:$Z$1000, 2, 0), "Enter a valid uuid in the supplier_uuid column")</f>
        <v>Enter a valid uuid in the supplier_uuid column</v>
      </c>
      <c r="N394" s="5" t="n">
        <v>0.1</v>
      </c>
      <c r="O394" s="2" t="s">
        <v>25</v>
      </c>
    </row>
    <row r="395" customFormat="false" ht="12.8" hidden="false" customHeight="false" outlineLevel="0" collapsed="false">
      <c r="A395" s="1" t="s">
        <v>781</v>
      </c>
      <c r="B395" s="10"/>
      <c r="F395" s="2" t="n">
        <v>1</v>
      </c>
      <c r="G395" s="2" t="s">
        <v>20</v>
      </c>
      <c r="H395" s="2" t="s">
        <v>21</v>
      </c>
      <c r="I395" s="2" t="s">
        <v>22</v>
      </c>
      <c r="L395" s="10"/>
      <c r="M395" s="1" t="str">
        <f aca="false">IFERROR(VLOOKUP(L395, suppliers!$A$1:$Z$1000, 2, 0), "Enter a valid uuid in the supplier_uuid column")</f>
        <v>Enter a valid uuid in the supplier_uuid column</v>
      </c>
      <c r="N395" s="5" t="n">
        <v>0.1</v>
      </c>
      <c r="O395" s="2" t="s">
        <v>25</v>
      </c>
    </row>
    <row r="396" customFormat="false" ht="12.8" hidden="false" customHeight="false" outlineLevel="0" collapsed="false">
      <c r="A396" s="1" t="s">
        <v>782</v>
      </c>
      <c r="B396" s="10"/>
      <c r="F396" s="2" t="n">
        <v>1</v>
      </c>
      <c r="G396" s="2" t="s">
        <v>20</v>
      </c>
      <c r="H396" s="2" t="s">
        <v>21</v>
      </c>
      <c r="I396" s="2" t="s">
        <v>22</v>
      </c>
      <c r="L396" s="10"/>
      <c r="M396" s="1" t="str">
        <f aca="false">IFERROR(VLOOKUP(L396, suppliers!$A$1:$Z$1000, 2, 0), "Enter a valid uuid in the supplier_uuid column")</f>
        <v>Enter a valid uuid in the supplier_uuid column</v>
      </c>
      <c r="N396" s="5" t="n">
        <v>0.1</v>
      </c>
      <c r="O396" s="2" t="s">
        <v>25</v>
      </c>
    </row>
    <row r="397" customFormat="false" ht="12.8" hidden="false" customHeight="false" outlineLevel="0" collapsed="false">
      <c r="A397" s="1" t="s">
        <v>783</v>
      </c>
      <c r="B397" s="10"/>
      <c r="F397" s="2" t="n">
        <v>1</v>
      </c>
      <c r="G397" s="2" t="s">
        <v>20</v>
      </c>
      <c r="H397" s="2" t="s">
        <v>21</v>
      </c>
      <c r="I397" s="2" t="s">
        <v>22</v>
      </c>
      <c r="L397" s="10"/>
      <c r="M397" s="1" t="str">
        <f aca="false">IFERROR(VLOOKUP(L397, suppliers!$A$1:$Z$1000, 2, 0), "Enter a valid uuid in the supplier_uuid column")</f>
        <v>Enter a valid uuid in the supplier_uuid column</v>
      </c>
      <c r="N397" s="5" t="n">
        <v>0.1</v>
      </c>
      <c r="O397" s="2" t="s">
        <v>25</v>
      </c>
    </row>
    <row r="398" customFormat="false" ht="12.8" hidden="false" customHeight="false" outlineLevel="0" collapsed="false">
      <c r="A398" s="1" t="s">
        <v>784</v>
      </c>
      <c r="B398" s="10"/>
      <c r="F398" s="2" t="n">
        <v>1</v>
      </c>
      <c r="G398" s="2" t="s">
        <v>20</v>
      </c>
      <c r="H398" s="2" t="s">
        <v>21</v>
      </c>
      <c r="I398" s="2" t="s">
        <v>22</v>
      </c>
      <c r="L398" s="10"/>
      <c r="M398" s="1" t="str">
        <f aca="false">IFERROR(VLOOKUP(L398, suppliers!$A$1:$Z$1000, 2, 0), "Enter a valid uuid in the supplier_uuid column")</f>
        <v>Enter a valid uuid in the supplier_uuid column</v>
      </c>
      <c r="N398" s="5" t="n">
        <v>0.1</v>
      </c>
      <c r="O398" s="2" t="s">
        <v>25</v>
      </c>
    </row>
    <row r="399" customFormat="false" ht="12.8" hidden="false" customHeight="false" outlineLevel="0" collapsed="false">
      <c r="A399" s="1" t="s">
        <v>785</v>
      </c>
      <c r="B399" s="10"/>
      <c r="F399" s="2" t="n">
        <v>1</v>
      </c>
      <c r="G399" s="2" t="s">
        <v>20</v>
      </c>
      <c r="H399" s="2" t="s">
        <v>21</v>
      </c>
      <c r="I399" s="2" t="s">
        <v>22</v>
      </c>
      <c r="L399" s="10"/>
      <c r="M399" s="1" t="str">
        <f aca="false">IFERROR(VLOOKUP(L399, suppliers!$A$1:$Z$1000, 2, 0), "Enter a valid uuid in the supplier_uuid column")</f>
        <v>Enter a valid uuid in the supplier_uuid column</v>
      </c>
      <c r="N399" s="5" t="n">
        <v>0.1</v>
      </c>
      <c r="O399" s="2" t="s">
        <v>25</v>
      </c>
    </row>
    <row r="400" customFormat="false" ht="12.8" hidden="false" customHeight="false" outlineLevel="0" collapsed="false">
      <c r="A400" s="1" t="s">
        <v>786</v>
      </c>
      <c r="B400" s="10"/>
      <c r="F400" s="2" t="n">
        <v>1</v>
      </c>
      <c r="G400" s="2" t="s">
        <v>20</v>
      </c>
      <c r="H400" s="2" t="s">
        <v>21</v>
      </c>
      <c r="I400" s="2" t="s">
        <v>22</v>
      </c>
      <c r="L400" s="10"/>
      <c r="M400" s="1" t="str">
        <f aca="false">IFERROR(VLOOKUP(L400, suppliers!$A$1:$Z$1000, 2, 0), "Enter a valid uuid in the supplier_uuid column")</f>
        <v>Enter a valid uuid in the supplier_uuid column</v>
      </c>
      <c r="N400" s="5" t="n">
        <v>0.1</v>
      </c>
      <c r="O400" s="2" t="s">
        <v>25</v>
      </c>
    </row>
    <row r="401" customFormat="false" ht="12.8" hidden="false" customHeight="false" outlineLevel="0" collapsed="false">
      <c r="A401" s="1" t="s">
        <v>787</v>
      </c>
      <c r="B401" s="10"/>
      <c r="F401" s="2" t="n">
        <v>1</v>
      </c>
      <c r="G401" s="2" t="s">
        <v>20</v>
      </c>
      <c r="H401" s="2" t="s">
        <v>21</v>
      </c>
      <c r="I401" s="2" t="s">
        <v>22</v>
      </c>
      <c r="L401" s="10"/>
      <c r="M401" s="1" t="str">
        <f aca="false">IFERROR(VLOOKUP(L401, suppliers!$A$1:$Z$1000, 2, 0), "Enter a valid uuid in the supplier_uuid column")</f>
        <v>Enter a valid uuid in the supplier_uuid column</v>
      </c>
      <c r="N401" s="5" t="n">
        <v>0.1</v>
      </c>
      <c r="O401" s="2" t="s">
        <v>25</v>
      </c>
    </row>
    <row r="402" customFormat="false" ht="12.8" hidden="false" customHeight="false" outlineLevel="0" collapsed="false">
      <c r="A402" s="1" t="s">
        <v>788</v>
      </c>
      <c r="B402" s="10"/>
      <c r="F402" s="2" t="n">
        <v>1</v>
      </c>
      <c r="G402" s="2" t="s">
        <v>20</v>
      </c>
      <c r="H402" s="2" t="s">
        <v>21</v>
      </c>
      <c r="I402" s="2" t="s">
        <v>22</v>
      </c>
      <c r="L402" s="10"/>
      <c r="M402" s="1" t="str">
        <f aca="false">IFERROR(VLOOKUP(L402, suppliers!$A$1:$Z$1000, 2, 0), "Enter a valid uuid in the supplier_uuid column")</f>
        <v>Enter a valid uuid in the supplier_uuid column</v>
      </c>
      <c r="N402" s="5" t="n">
        <v>0.1</v>
      </c>
      <c r="O402" s="2" t="s">
        <v>25</v>
      </c>
    </row>
    <row r="403" customFormat="false" ht="12.8" hidden="false" customHeight="false" outlineLevel="0" collapsed="false">
      <c r="A403" s="1" t="s">
        <v>789</v>
      </c>
      <c r="B403" s="10"/>
      <c r="F403" s="2" t="n">
        <v>1</v>
      </c>
      <c r="G403" s="2" t="s">
        <v>20</v>
      </c>
      <c r="H403" s="2" t="s">
        <v>21</v>
      </c>
      <c r="I403" s="2" t="s">
        <v>22</v>
      </c>
      <c r="L403" s="10"/>
      <c r="M403" s="1" t="str">
        <f aca="false">IFERROR(VLOOKUP(L403, suppliers!$A$1:$Z$1000, 2, 0), "Enter a valid uuid in the supplier_uuid column")</f>
        <v>Enter a valid uuid in the supplier_uuid column</v>
      </c>
      <c r="N403" s="5" t="n">
        <v>0.1</v>
      </c>
      <c r="O403" s="2" t="s">
        <v>25</v>
      </c>
    </row>
    <row r="404" customFormat="false" ht="12.8" hidden="false" customHeight="false" outlineLevel="0" collapsed="false">
      <c r="A404" s="1" t="s">
        <v>790</v>
      </c>
      <c r="B404" s="10"/>
      <c r="F404" s="2" t="n">
        <v>1</v>
      </c>
      <c r="G404" s="2" t="s">
        <v>20</v>
      </c>
      <c r="H404" s="2" t="s">
        <v>21</v>
      </c>
      <c r="I404" s="2" t="s">
        <v>22</v>
      </c>
      <c r="L404" s="10"/>
      <c r="M404" s="1" t="str">
        <f aca="false">IFERROR(VLOOKUP(L404, suppliers!$A$1:$Z$1000, 2, 0), "Enter a valid uuid in the supplier_uuid column")</f>
        <v>Enter a valid uuid in the supplier_uuid column</v>
      </c>
      <c r="N404" s="5" t="n">
        <v>0.1</v>
      </c>
      <c r="O404" s="2" t="s">
        <v>25</v>
      </c>
    </row>
    <row r="405" customFormat="false" ht="12.8" hidden="false" customHeight="false" outlineLevel="0" collapsed="false">
      <c r="A405" s="1" t="s">
        <v>791</v>
      </c>
      <c r="B405" s="10"/>
      <c r="F405" s="2" t="n">
        <v>1</v>
      </c>
      <c r="G405" s="2" t="s">
        <v>20</v>
      </c>
      <c r="H405" s="2" t="s">
        <v>21</v>
      </c>
      <c r="I405" s="2" t="s">
        <v>22</v>
      </c>
      <c r="L405" s="10"/>
      <c r="M405" s="1" t="str">
        <f aca="false">IFERROR(VLOOKUP(L405, suppliers!$A$1:$Z$1000, 2, 0), "Enter a valid uuid in the supplier_uuid column")</f>
        <v>Enter a valid uuid in the supplier_uuid column</v>
      </c>
      <c r="N405" s="5" t="n">
        <v>0.1</v>
      </c>
      <c r="O405" s="2" t="s">
        <v>25</v>
      </c>
    </row>
    <row r="406" customFormat="false" ht="12.8" hidden="false" customHeight="false" outlineLevel="0" collapsed="false">
      <c r="A406" s="1" t="s">
        <v>792</v>
      </c>
      <c r="B406" s="10"/>
      <c r="F406" s="2" t="n">
        <v>1</v>
      </c>
      <c r="G406" s="2" t="s">
        <v>20</v>
      </c>
      <c r="H406" s="2" t="s">
        <v>21</v>
      </c>
      <c r="I406" s="2" t="s">
        <v>22</v>
      </c>
      <c r="L406" s="10"/>
      <c r="M406" s="1" t="str">
        <f aca="false">IFERROR(VLOOKUP(L406, suppliers!$A$1:$Z$1000, 2, 0), "Enter a valid uuid in the supplier_uuid column")</f>
        <v>Enter a valid uuid in the supplier_uuid column</v>
      </c>
      <c r="N406" s="5" t="n">
        <v>0.1</v>
      </c>
      <c r="O406" s="2" t="s">
        <v>25</v>
      </c>
    </row>
    <row r="407" customFormat="false" ht="12.8" hidden="false" customHeight="false" outlineLevel="0" collapsed="false">
      <c r="A407" s="1" t="s">
        <v>793</v>
      </c>
      <c r="B407" s="10"/>
      <c r="F407" s="2" t="n">
        <v>1</v>
      </c>
      <c r="G407" s="2" t="s">
        <v>20</v>
      </c>
      <c r="H407" s="2" t="s">
        <v>21</v>
      </c>
      <c r="I407" s="2" t="s">
        <v>22</v>
      </c>
      <c r="L407" s="10"/>
      <c r="M407" s="1" t="str">
        <f aca="false">IFERROR(VLOOKUP(L407, suppliers!$A$1:$Z$1000, 2, 0), "Enter a valid uuid in the supplier_uuid column")</f>
        <v>Enter a valid uuid in the supplier_uuid column</v>
      </c>
      <c r="N407" s="5" t="n">
        <v>0.1</v>
      </c>
      <c r="O407" s="2" t="s">
        <v>25</v>
      </c>
    </row>
    <row r="408" customFormat="false" ht="12.8" hidden="false" customHeight="false" outlineLevel="0" collapsed="false">
      <c r="A408" s="1" t="s">
        <v>794</v>
      </c>
      <c r="B408" s="10"/>
      <c r="F408" s="2" t="n">
        <v>1</v>
      </c>
      <c r="G408" s="2" t="s">
        <v>20</v>
      </c>
      <c r="H408" s="2" t="s">
        <v>21</v>
      </c>
      <c r="I408" s="2" t="s">
        <v>22</v>
      </c>
      <c r="L408" s="10"/>
      <c r="M408" s="1" t="str">
        <f aca="false">IFERROR(VLOOKUP(L408, suppliers!$A$1:$Z$1000, 2, 0), "Enter a valid uuid in the supplier_uuid column")</f>
        <v>Enter a valid uuid in the supplier_uuid column</v>
      </c>
      <c r="N408" s="5" t="n">
        <v>0.1</v>
      </c>
      <c r="O408" s="2" t="s">
        <v>25</v>
      </c>
    </row>
    <row r="409" customFormat="false" ht="12.8" hidden="false" customHeight="false" outlineLevel="0" collapsed="false">
      <c r="A409" s="1" t="s">
        <v>795</v>
      </c>
      <c r="B409" s="10"/>
      <c r="F409" s="2" t="n">
        <v>1</v>
      </c>
      <c r="G409" s="2" t="s">
        <v>20</v>
      </c>
      <c r="H409" s="2" t="s">
        <v>21</v>
      </c>
      <c r="I409" s="2" t="s">
        <v>22</v>
      </c>
      <c r="L409" s="10"/>
      <c r="M409" s="1" t="str">
        <f aca="false">IFERROR(VLOOKUP(L409, suppliers!$A$1:$Z$1000, 2, 0), "Enter a valid uuid in the supplier_uuid column")</f>
        <v>Enter a valid uuid in the supplier_uuid column</v>
      </c>
      <c r="N409" s="5" t="n">
        <v>0.1</v>
      </c>
      <c r="O409" s="2" t="s">
        <v>25</v>
      </c>
    </row>
    <row r="410" customFormat="false" ht="12.8" hidden="false" customHeight="false" outlineLevel="0" collapsed="false">
      <c r="A410" s="1" t="s">
        <v>796</v>
      </c>
      <c r="B410" s="10"/>
      <c r="F410" s="2" t="n">
        <v>1</v>
      </c>
      <c r="G410" s="2" t="s">
        <v>20</v>
      </c>
      <c r="H410" s="2" t="s">
        <v>21</v>
      </c>
      <c r="I410" s="2" t="s">
        <v>22</v>
      </c>
      <c r="L410" s="10"/>
      <c r="M410" s="1" t="str">
        <f aca="false">IFERROR(VLOOKUP(L410, suppliers!$A$1:$Z$1000, 2, 0), "Enter a valid uuid in the supplier_uuid column")</f>
        <v>Enter a valid uuid in the supplier_uuid column</v>
      </c>
      <c r="N410" s="5" t="n">
        <v>0.1</v>
      </c>
      <c r="O410" s="2" t="s">
        <v>25</v>
      </c>
    </row>
    <row r="411" customFormat="false" ht="12.8" hidden="false" customHeight="false" outlineLevel="0" collapsed="false">
      <c r="A411" s="1" t="s">
        <v>797</v>
      </c>
      <c r="B411" s="10"/>
      <c r="F411" s="2" t="n">
        <v>1</v>
      </c>
      <c r="G411" s="2" t="s">
        <v>20</v>
      </c>
      <c r="H411" s="2" t="s">
        <v>21</v>
      </c>
      <c r="I411" s="2" t="s">
        <v>22</v>
      </c>
      <c r="L411" s="10"/>
      <c r="M411" s="1" t="str">
        <f aca="false">IFERROR(VLOOKUP(L411, suppliers!$A$1:$Z$1000, 2, 0), "Enter a valid uuid in the supplier_uuid column")</f>
        <v>Enter a valid uuid in the supplier_uuid column</v>
      </c>
      <c r="N411" s="5" t="n">
        <v>0.1</v>
      </c>
      <c r="O411" s="2" t="s">
        <v>25</v>
      </c>
    </row>
    <row r="412" customFormat="false" ht="12.8" hidden="false" customHeight="false" outlineLevel="0" collapsed="false">
      <c r="A412" s="1" t="s">
        <v>798</v>
      </c>
      <c r="B412" s="10"/>
      <c r="F412" s="2" t="n">
        <v>1</v>
      </c>
      <c r="G412" s="2" t="s">
        <v>20</v>
      </c>
      <c r="H412" s="2" t="s">
        <v>21</v>
      </c>
      <c r="I412" s="2" t="s">
        <v>22</v>
      </c>
      <c r="L412" s="10"/>
      <c r="M412" s="1" t="str">
        <f aca="false">IFERROR(VLOOKUP(L412, suppliers!$A$1:$Z$1000, 2, 0), "Enter a valid uuid in the supplier_uuid column")</f>
        <v>Enter a valid uuid in the supplier_uuid column</v>
      </c>
      <c r="N412" s="5" t="n">
        <v>0.1</v>
      </c>
      <c r="O412" s="2" t="s">
        <v>25</v>
      </c>
    </row>
    <row r="413" customFormat="false" ht="12.8" hidden="false" customHeight="false" outlineLevel="0" collapsed="false">
      <c r="A413" s="1" t="s">
        <v>799</v>
      </c>
      <c r="B413" s="10"/>
      <c r="F413" s="2" t="n">
        <v>1</v>
      </c>
      <c r="G413" s="2" t="s">
        <v>20</v>
      </c>
      <c r="H413" s="2" t="s">
        <v>21</v>
      </c>
      <c r="I413" s="2" t="s">
        <v>22</v>
      </c>
      <c r="L413" s="10"/>
      <c r="M413" s="1" t="str">
        <f aca="false">IFERROR(VLOOKUP(L413, suppliers!$A$1:$Z$1000, 2, 0), "Enter a valid uuid in the supplier_uuid column")</f>
        <v>Enter a valid uuid in the supplier_uuid column</v>
      </c>
      <c r="N413" s="5" t="n">
        <v>0.1</v>
      </c>
      <c r="O413" s="2" t="s">
        <v>25</v>
      </c>
    </row>
    <row r="414" customFormat="false" ht="12.8" hidden="false" customHeight="false" outlineLevel="0" collapsed="false">
      <c r="A414" s="1" t="s">
        <v>800</v>
      </c>
      <c r="B414" s="10"/>
      <c r="F414" s="2" t="n">
        <v>1</v>
      </c>
      <c r="G414" s="2" t="s">
        <v>20</v>
      </c>
      <c r="H414" s="2" t="s">
        <v>21</v>
      </c>
      <c r="I414" s="2" t="s">
        <v>22</v>
      </c>
      <c r="L414" s="10"/>
      <c r="M414" s="1" t="str">
        <f aca="false">IFERROR(VLOOKUP(L414, suppliers!$A$1:$Z$1000, 2, 0), "Enter a valid uuid in the supplier_uuid column")</f>
        <v>Enter a valid uuid in the supplier_uuid column</v>
      </c>
      <c r="N414" s="5" t="n">
        <v>0.1</v>
      </c>
      <c r="O414" s="2" t="s">
        <v>25</v>
      </c>
    </row>
    <row r="415" customFormat="false" ht="12.8" hidden="false" customHeight="false" outlineLevel="0" collapsed="false">
      <c r="A415" s="1" t="s">
        <v>801</v>
      </c>
      <c r="B415" s="10"/>
      <c r="F415" s="2" t="n">
        <v>1</v>
      </c>
      <c r="G415" s="2" t="s">
        <v>20</v>
      </c>
      <c r="H415" s="2" t="s">
        <v>21</v>
      </c>
      <c r="I415" s="2" t="s">
        <v>22</v>
      </c>
      <c r="L415" s="10"/>
      <c r="M415" s="1" t="str">
        <f aca="false">IFERROR(VLOOKUP(L415, suppliers!$A$1:$Z$1000, 2, 0), "Enter a valid uuid in the supplier_uuid column")</f>
        <v>Enter a valid uuid in the supplier_uuid column</v>
      </c>
      <c r="N415" s="5" t="n">
        <v>0.1</v>
      </c>
      <c r="O415" s="2" t="s">
        <v>25</v>
      </c>
    </row>
    <row r="416" customFormat="false" ht="12.8" hidden="false" customHeight="false" outlineLevel="0" collapsed="false">
      <c r="A416" s="1" t="s">
        <v>802</v>
      </c>
      <c r="B416" s="10"/>
      <c r="F416" s="2" t="n">
        <v>1</v>
      </c>
      <c r="G416" s="2" t="s">
        <v>20</v>
      </c>
      <c r="H416" s="2" t="s">
        <v>21</v>
      </c>
      <c r="I416" s="2" t="s">
        <v>22</v>
      </c>
      <c r="L416" s="10"/>
      <c r="M416" s="1" t="str">
        <f aca="false">IFERROR(VLOOKUP(L416, suppliers!$A$1:$Z$1000, 2, 0), "Enter a valid uuid in the supplier_uuid column")</f>
        <v>Enter a valid uuid in the supplier_uuid column</v>
      </c>
      <c r="N416" s="5" t="n">
        <v>0.1</v>
      </c>
      <c r="O416" s="2" t="s">
        <v>25</v>
      </c>
    </row>
    <row r="417" customFormat="false" ht="12.8" hidden="false" customHeight="false" outlineLevel="0" collapsed="false">
      <c r="A417" s="1" t="s">
        <v>803</v>
      </c>
      <c r="B417" s="10"/>
      <c r="F417" s="2" t="n">
        <v>1</v>
      </c>
      <c r="G417" s="2" t="s">
        <v>20</v>
      </c>
      <c r="H417" s="2" t="s">
        <v>21</v>
      </c>
      <c r="I417" s="2" t="s">
        <v>22</v>
      </c>
      <c r="L417" s="10"/>
      <c r="M417" s="1" t="str">
        <f aca="false">IFERROR(VLOOKUP(L417, suppliers!$A$1:$Z$1000, 2, 0), "Enter a valid uuid in the supplier_uuid column")</f>
        <v>Enter a valid uuid in the supplier_uuid column</v>
      </c>
      <c r="N417" s="5" t="n">
        <v>0.1</v>
      </c>
      <c r="O417" s="2" t="s">
        <v>25</v>
      </c>
    </row>
    <row r="418" customFormat="false" ht="12.8" hidden="false" customHeight="false" outlineLevel="0" collapsed="false">
      <c r="A418" s="1" t="s">
        <v>804</v>
      </c>
      <c r="B418" s="10"/>
      <c r="F418" s="2" t="n">
        <v>1</v>
      </c>
      <c r="G418" s="2" t="s">
        <v>20</v>
      </c>
      <c r="H418" s="2" t="s">
        <v>21</v>
      </c>
      <c r="I418" s="2" t="s">
        <v>22</v>
      </c>
      <c r="L418" s="10"/>
      <c r="M418" s="1" t="str">
        <f aca="false">IFERROR(VLOOKUP(L418, suppliers!$A$1:$Z$1000, 2, 0), "Enter a valid uuid in the supplier_uuid column")</f>
        <v>Enter a valid uuid in the supplier_uuid column</v>
      </c>
      <c r="N418" s="5" t="n">
        <v>0.1</v>
      </c>
      <c r="O418" s="2" t="s">
        <v>25</v>
      </c>
    </row>
    <row r="419" customFormat="false" ht="12.8" hidden="false" customHeight="false" outlineLevel="0" collapsed="false">
      <c r="A419" s="1" t="s">
        <v>805</v>
      </c>
      <c r="B419" s="10"/>
      <c r="F419" s="2" t="n">
        <v>1</v>
      </c>
      <c r="G419" s="2" t="s">
        <v>20</v>
      </c>
      <c r="H419" s="2" t="s">
        <v>21</v>
      </c>
      <c r="I419" s="2" t="s">
        <v>22</v>
      </c>
      <c r="L419" s="10"/>
      <c r="M419" s="1" t="str">
        <f aca="false">IFERROR(VLOOKUP(L419, suppliers!$A$1:$Z$1000, 2, 0), "Enter a valid uuid in the supplier_uuid column")</f>
        <v>Enter a valid uuid in the supplier_uuid column</v>
      </c>
      <c r="N419" s="5" t="n">
        <v>0.1</v>
      </c>
      <c r="O419" s="2" t="s">
        <v>25</v>
      </c>
    </row>
    <row r="420" customFormat="false" ht="12.8" hidden="false" customHeight="false" outlineLevel="0" collapsed="false">
      <c r="A420" s="1" t="s">
        <v>806</v>
      </c>
      <c r="B420" s="10"/>
      <c r="F420" s="2" t="n">
        <v>1</v>
      </c>
      <c r="G420" s="2" t="s">
        <v>20</v>
      </c>
      <c r="H420" s="2" t="s">
        <v>21</v>
      </c>
      <c r="I420" s="2" t="s">
        <v>22</v>
      </c>
      <c r="L420" s="10"/>
      <c r="M420" s="1" t="str">
        <f aca="false">IFERROR(VLOOKUP(L420, suppliers!$A$1:$Z$1000, 2, 0), "Enter a valid uuid in the supplier_uuid column")</f>
        <v>Enter a valid uuid in the supplier_uuid column</v>
      </c>
      <c r="N420" s="5" t="n">
        <v>0.1</v>
      </c>
      <c r="O420" s="2" t="s">
        <v>25</v>
      </c>
    </row>
    <row r="421" customFormat="false" ht="12.8" hidden="false" customHeight="false" outlineLevel="0" collapsed="false">
      <c r="A421" s="1" t="s">
        <v>807</v>
      </c>
      <c r="B421" s="10"/>
      <c r="F421" s="2" t="n">
        <v>1</v>
      </c>
      <c r="G421" s="2" t="s">
        <v>20</v>
      </c>
      <c r="H421" s="2" t="s">
        <v>21</v>
      </c>
      <c r="I421" s="2" t="s">
        <v>22</v>
      </c>
      <c r="L421" s="10"/>
      <c r="M421" s="1" t="str">
        <f aca="false">IFERROR(VLOOKUP(L421, suppliers!$A$1:$Z$1000, 2, 0), "Enter a valid uuid in the supplier_uuid column")</f>
        <v>Enter a valid uuid in the supplier_uuid column</v>
      </c>
      <c r="N421" s="5" t="n">
        <v>0.1</v>
      </c>
      <c r="O421" s="2" t="s">
        <v>25</v>
      </c>
    </row>
    <row r="422" customFormat="false" ht="12.8" hidden="false" customHeight="false" outlineLevel="0" collapsed="false">
      <c r="A422" s="1" t="s">
        <v>808</v>
      </c>
      <c r="B422" s="10"/>
      <c r="F422" s="2" t="n">
        <v>1</v>
      </c>
      <c r="G422" s="2" t="s">
        <v>20</v>
      </c>
      <c r="H422" s="2" t="s">
        <v>21</v>
      </c>
      <c r="I422" s="2" t="s">
        <v>22</v>
      </c>
      <c r="L422" s="10"/>
      <c r="M422" s="1" t="str">
        <f aca="false">IFERROR(VLOOKUP(L422, suppliers!$A$1:$Z$1000, 2, 0), "Enter a valid uuid in the supplier_uuid column")</f>
        <v>Enter a valid uuid in the supplier_uuid column</v>
      </c>
      <c r="N422" s="5" t="n">
        <v>0.1</v>
      </c>
      <c r="O422" s="2" t="s">
        <v>25</v>
      </c>
    </row>
    <row r="423" customFormat="false" ht="12.8" hidden="false" customHeight="false" outlineLevel="0" collapsed="false">
      <c r="A423" s="1" t="s">
        <v>809</v>
      </c>
      <c r="B423" s="10"/>
      <c r="F423" s="2" t="n">
        <v>1</v>
      </c>
      <c r="G423" s="2" t="s">
        <v>20</v>
      </c>
      <c r="H423" s="2" t="s">
        <v>21</v>
      </c>
      <c r="I423" s="2" t="s">
        <v>22</v>
      </c>
      <c r="L423" s="10"/>
      <c r="M423" s="1" t="str">
        <f aca="false">IFERROR(VLOOKUP(L423, suppliers!$A$1:$Z$1000, 2, 0), "Enter a valid uuid in the supplier_uuid column")</f>
        <v>Enter a valid uuid in the supplier_uuid column</v>
      </c>
      <c r="N423" s="5" t="n">
        <v>0.1</v>
      </c>
      <c r="O423" s="2" t="s">
        <v>25</v>
      </c>
    </row>
    <row r="424" customFormat="false" ht="12.8" hidden="false" customHeight="false" outlineLevel="0" collapsed="false">
      <c r="A424" s="1" t="s">
        <v>810</v>
      </c>
      <c r="B424" s="10"/>
      <c r="F424" s="2" t="n">
        <v>1</v>
      </c>
      <c r="G424" s="2" t="s">
        <v>20</v>
      </c>
      <c r="H424" s="2" t="s">
        <v>21</v>
      </c>
      <c r="I424" s="2" t="s">
        <v>22</v>
      </c>
      <c r="L424" s="10"/>
      <c r="M424" s="1" t="str">
        <f aca="false">IFERROR(VLOOKUP(L424, suppliers!$A$1:$Z$1000, 2, 0), "Enter a valid uuid in the supplier_uuid column")</f>
        <v>Enter a valid uuid in the supplier_uuid column</v>
      </c>
      <c r="N424" s="5" t="n">
        <v>0.1</v>
      </c>
      <c r="O424" s="2" t="s">
        <v>25</v>
      </c>
    </row>
    <row r="425" customFormat="false" ht="12.8" hidden="false" customHeight="false" outlineLevel="0" collapsed="false">
      <c r="A425" s="1" t="s">
        <v>811</v>
      </c>
      <c r="B425" s="10"/>
      <c r="F425" s="2" t="n">
        <v>1</v>
      </c>
      <c r="G425" s="2" t="s">
        <v>20</v>
      </c>
      <c r="H425" s="2" t="s">
        <v>21</v>
      </c>
      <c r="I425" s="2" t="s">
        <v>22</v>
      </c>
      <c r="L425" s="10"/>
      <c r="M425" s="1" t="str">
        <f aca="false">IFERROR(VLOOKUP(L425, suppliers!$A$1:$Z$1000, 2, 0), "Enter a valid uuid in the supplier_uuid column")</f>
        <v>Enter a valid uuid in the supplier_uuid column</v>
      </c>
      <c r="N425" s="5" t="n">
        <v>0.1</v>
      </c>
      <c r="O425" s="2" t="s">
        <v>25</v>
      </c>
    </row>
    <row r="426" customFormat="false" ht="12.8" hidden="false" customHeight="false" outlineLevel="0" collapsed="false">
      <c r="A426" s="1" t="s">
        <v>812</v>
      </c>
      <c r="B426" s="10"/>
      <c r="F426" s="2" t="n">
        <v>1</v>
      </c>
      <c r="G426" s="2" t="s">
        <v>20</v>
      </c>
      <c r="H426" s="2" t="s">
        <v>21</v>
      </c>
      <c r="I426" s="2" t="s">
        <v>22</v>
      </c>
      <c r="L426" s="10"/>
      <c r="M426" s="1" t="str">
        <f aca="false">IFERROR(VLOOKUP(L426, suppliers!$A$1:$Z$1000, 2, 0), "Enter a valid uuid in the supplier_uuid column")</f>
        <v>Enter a valid uuid in the supplier_uuid column</v>
      </c>
      <c r="N426" s="5" t="n">
        <v>0.1</v>
      </c>
      <c r="O426" s="2" t="s">
        <v>25</v>
      </c>
    </row>
    <row r="427" customFormat="false" ht="12.8" hidden="false" customHeight="false" outlineLevel="0" collapsed="false">
      <c r="A427" s="1" t="s">
        <v>813</v>
      </c>
      <c r="B427" s="10"/>
      <c r="F427" s="2" t="n">
        <v>1</v>
      </c>
      <c r="G427" s="2" t="s">
        <v>20</v>
      </c>
      <c r="H427" s="2" t="s">
        <v>21</v>
      </c>
      <c r="I427" s="2" t="s">
        <v>22</v>
      </c>
      <c r="L427" s="10"/>
      <c r="M427" s="1" t="str">
        <f aca="false">IFERROR(VLOOKUP(L427, suppliers!$A$1:$Z$1000, 2, 0), "Enter a valid uuid in the supplier_uuid column")</f>
        <v>Enter a valid uuid in the supplier_uuid column</v>
      </c>
      <c r="N427" s="5" t="n">
        <v>0.1</v>
      </c>
      <c r="O427" s="2" t="s">
        <v>25</v>
      </c>
    </row>
    <row r="428" customFormat="false" ht="12.8" hidden="false" customHeight="false" outlineLevel="0" collapsed="false">
      <c r="A428" s="1" t="s">
        <v>814</v>
      </c>
      <c r="B428" s="10"/>
      <c r="F428" s="2" t="n">
        <v>1</v>
      </c>
      <c r="G428" s="2" t="s">
        <v>20</v>
      </c>
      <c r="H428" s="2" t="s">
        <v>21</v>
      </c>
      <c r="I428" s="2" t="s">
        <v>22</v>
      </c>
      <c r="L428" s="10"/>
      <c r="M428" s="1" t="str">
        <f aca="false">IFERROR(VLOOKUP(L428, suppliers!$A$1:$Z$1000, 2, 0), "Enter a valid uuid in the supplier_uuid column")</f>
        <v>Enter a valid uuid in the supplier_uuid column</v>
      </c>
      <c r="N428" s="5" t="n">
        <v>0.1</v>
      </c>
      <c r="O428" s="2" t="s">
        <v>25</v>
      </c>
    </row>
    <row r="429" customFormat="false" ht="12.8" hidden="false" customHeight="false" outlineLevel="0" collapsed="false">
      <c r="A429" s="1" t="s">
        <v>815</v>
      </c>
      <c r="B429" s="10"/>
      <c r="F429" s="2" t="n">
        <v>1</v>
      </c>
      <c r="G429" s="2" t="s">
        <v>20</v>
      </c>
      <c r="H429" s="2" t="s">
        <v>21</v>
      </c>
      <c r="I429" s="2" t="s">
        <v>22</v>
      </c>
      <c r="L429" s="10"/>
      <c r="M429" s="1" t="str">
        <f aca="false">IFERROR(VLOOKUP(L429, suppliers!$A$1:$Z$1000, 2, 0), "Enter a valid uuid in the supplier_uuid column")</f>
        <v>Enter a valid uuid in the supplier_uuid column</v>
      </c>
      <c r="N429" s="5" t="n">
        <v>0.1</v>
      </c>
      <c r="O429" s="2" t="s">
        <v>25</v>
      </c>
    </row>
    <row r="430" customFormat="false" ht="12.8" hidden="false" customHeight="false" outlineLevel="0" collapsed="false">
      <c r="A430" s="1" t="s">
        <v>816</v>
      </c>
      <c r="B430" s="10"/>
      <c r="F430" s="2" t="n">
        <v>1</v>
      </c>
      <c r="G430" s="2" t="s">
        <v>20</v>
      </c>
      <c r="H430" s="2" t="s">
        <v>21</v>
      </c>
      <c r="I430" s="2" t="s">
        <v>22</v>
      </c>
      <c r="L430" s="10"/>
      <c r="M430" s="1" t="str">
        <f aca="false">IFERROR(VLOOKUP(L430, suppliers!$A$1:$Z$1000, 2, 0), "Enter a valid uuid in the supplier_uuid column")</f>
        <v>Enter a valid uuid in the supplier_uuid column</v>
      </c>
      <c r="N430" s="5" t="n">
        <v>0.1</v>
      </c>
      <c r="O430" s="2" t="s">
        <v>25</v>
      </c>
    </row>
    <row r="431" customFormat="false" ht="12.8" hidden="false" customHeight="false" outlineLevel="0" collapsed="false">
      <c r="A431" s="1" t="s">
        <v>817</v>
      </c>
      <c r="B431" s="10"/>
      <c r="F431" s="2" t="n">
        <v>1</v>
      </c>
      <c r="G431" s="2" t="s">
        <v>20</v>
      </c>
      <c r="H431" s="2" t="s">
        <v>21</v>
      </c>
      <c r="I431" s="2" t="s">
        <v>22</v>
      </c>
      <c r="L431" s="10"/>
      <c r="M431" s="1" t="str">
        <f aca="false">IFERROR(VLOOKUP(L431, suppliers!$A$1:$Z$1000, 2, 0), "Enter a valid uuid in the supplier_uuid column")</f>
        <v>Enter a valid uuid in the supplier_uuid column</v>
      </c>
      <c r="N431" s="5" t="n">
        <v>0.1</v>
      </c>
      <c r="O431" s="2" t="s">
        <v>25</v>
      </c>
    </row>
    <row r="432" customFormat="false" ht="12.8" hidden="false" customHeight="false" outlineLevel="0" collapsed="false">
      <c r="A432" s="1" t="s">
        <v>818</v>
      </c>
      <c r="B432" s="10"/>
      <c r="F432" s="2" t="n">
        <v>1</v>
      </c>
      <c r="G432" s="2" t="s">
        <v>20</v>
      </c>
      <c r="H432" s="2" t="s">
        <v>21</v>
      </c>
      <c r="I432" s="2" t="s">
        <v>22</v>
      </c>
      <c r="L432" s="10"/>
      <c r="M432" s="1" t="str">
        <f aca="false">IFERROR(VLOOKUP(L432, suppliers!$A$1:$Z$1000, 2, 0), "Enter a valid uuid in the supplier_uuid column")</f>
        <v>Enter a valid uuid in the supplier_uuid column</v>
      </c>
      <c r="N432" s="5" t="n">
        <v>0.1</v>
      </c>
      <c r="O432" s="2" t="s">
        <v>25</v>
      </c>
    </row>
    <row r="433" customFormat="false" ht="12.8" hidden="false" customHeight="false" outlineLevel="0" collapsed="false">
      <c r="A433" s="1" t="s">
        <v>819</v>
      </c>
      <c r="B433" s="10"/>
      <c r="F433" s="2" t="n">
        <v>1</v>
      </c>
      <c r="G433" s="2" t="s">
        <v>20</v>
      </c>
      <c r="H433" s="2" t="s">
        <v>21</v>
      </c>
      <c r="I433" s="2" t="s">
        <v>22</v>
      </c>
      <c r="L433" s="10"/>
      <c r="M433" s="1" t="str">
        <f aca="false">IFERROR(VLOOKUP(L433, suppliers!$A$1:$Z$1000, 2, 0), "Enter a valid uuid in the supplier_uuid column")</f>
        <v>Enter a valid uuid in the supplier_uuid column</v>
      </c>
      <c r="N433" s="5" t="n">
        <v>0.1</v>
      </c>
      <c r="O433" s="2" t="s">
        <v>25</v>
      </c>
    </row>
    <row r="434" customFormat="false" ht="12.8" hidden="false" customHeight="false" outlineLevel="0" collapsed="false">
      <c r="A434" s="1" t="s">
        <v>820</v>
      </c>
      <c r="B434" s="10"/>
      <c r="F434" s="2" t="n">
        <v>1</v>
      </c>
      <c r="G434" s="2" t="s">
        <v>20</v>
      </c>
      <c r="H434" s="2" t="s">
        <v>21</v>
      </c>
      <c r="I434" s="2" t="s">
        <v>22</v>
      </c>
      <c r="L434" s="10"/>
      <c r="M434" s="1" t="str">
        <f aca="false">IFERROR(VLOOKUP(L434, suppliers!$A$1:$Z$1000, 2, 0), "Enter a valid uuid in the supplier_uuid column")</f>
        <v>Enter a valid uuid in the supplier_uuid column</v>
      </c>
      <c r="N434" s="5" t="n">
        <v>0.1</v>
      </c>
      <c r="O434" s="2" t="s">
        <v>25</v>
      </c>
    </row>
    <row r="435" customFormat="false" ht="12.8" hidden="false" customHeight="false" outlineLevel="0" collapsed="false">
      <c r="A435" s="1" t="s">
        <v>821</v>
      </c>
      <c r="B435" s="10"/>
      <c r="F435" s="2" t="n">
        <v>1</v>
      </c>
      <c r="G435" s="2" t="s">
        <v>20</v>
      </c>
      <c r="H435" s="2" t="s">
        <v>21</v>
      </c>
      <c r="I435" s="2" t="s">
        <v>22</v>
      </c>
      <c r="L435" s="10"/>
      <c r="M435" s="1" t="str">
        <f aca="false">IFERROR(VLOOKUP(L435, suppliers!$A$1:$Z$1000, 2, 0), "Enter a valid uuid in the supplier_uuid column")</f>
        <v>Enter a valid uuid in the supplier_uuid column</v>
      </c>
      <c r="N435" s="5" t="n">
        <v>0.1</v>
      </c>
      <c r="O435" s="2" t="s">
        <v>25</v>
      </c>
    </row>
    <row r="436" customFormat="false" ht="12.8" hidden="false" customHeight="false" outlineLevel="0" collapsed="false">
      <c r="A436" s="1" t="s">
        <v>822</v>
      </c>
      <c r="B436" s="10"/>
      <c r="F436" s="2" t="n">
        <v>1</v>
      </c>
      <c r="G436" s="2" t="s">
        <v>20</v>
      </c>
      <c r="H436" s="2" t="s">
        <v>21</v>
      </c>
      <c r="I436" s="2" t="s">
        <v>22</v>
      </c>
      <c r="L436" s="10"/>
      <c r="M436" s="1" t="str">
        <f aca="false">IFERROR(VLOOKUP(L436, suppliers!$A$1:$Z$1000, 2, 0), "Enter a valid uuid in the supplier_uuid column")</f>
        <v>Enter a valid uuid in the supplier_uuid column</v>
      </c>
      <c r="N436" s="5" t="n">
        <v>0.1</v>
      </c>
      <c r="O436" s="2" t="s">
        <v>25</v>
      </c>
    </row>
    <row r="437" customFormat="false" ht="12.8" hidden="false" customHeight="false" outlineLevel="0" collapsed="false">
      <c r="A437" s="1" t="s">
        <v>823</v>
      </c>
      <c r="B437" s="10"/>
      <c r="F437" s="2" t="n">
        <v>1</v>
      </c>
      <c r="G437" s="2" t="s">
        <v>20</v>
      </c>
      <c r="H437" s="2" t="s">
        <v>21</v>
      </c>
      <c r="I437" s="2" t="s">
        <v>22</v>
      </c>
      <c r="L437" s="10"/>
      <c r="M437" s="1" t="str">
        <f aca="false">IFERROR(VLOOKUP(L437, suppliers!$A$1:$Z$1000, 2, 0), "Enter a valid uuid in the supplier_uuid column")</f>
        <v>Enter a valid uuid in the supplier_uuid column</v>
      </c>
      <c r="N437" s="5" t="n">
        <v>0.1</v>
      </c>
      <c r="O437" s="2" t="s">
        <v>25</v>
      </c>
    </row>
    <row r="438" customFormat="false" ht="12.8" hidden="false" customHeight="false" outlineLevel="0" collapsed="false">
      <c r="A438" s="1" t="s">
        <v>824</v>
      </c>
      <c r="B438" s="10"/>
      <c r="F438" s="2" t="n">
        <v>1</v>
      </c>
      <c r="G438" s="2" t="s">
        <v>20</v>
      </c>
      <c r="H438" s="2" t="s">
        <v>21</v>
      </c>
      <c r="I438" s="2" t="s">
        <v>22</v>
      </c>
      <c r="L438" s="10"/>
      <c r="M438" s="1" t="str">
        <f aca="false">IFERROR(VLOOKUP(L438, suppliers!$A$1:$Z$1000, 2, 0), "Enter a valid uuid in the supplier_uuid column")</f>
        <v>Enter a valid uuid in the supplier_uuid column</v>
      </c>
      <c r="N438" s="5" t="n">
        <v>0.1</v>
      </c>
      <c r="O438" s="2" t="s">
        <v>25</v>
      </c>
    </row>
    <row r="439" customFormat="false" ht="12.8" hidden="false" customHeight="false" outlineLevel="0" collapsed="false">
      <c r="A439" s="1" t="s">
        <v>825</v>
      </c>
      <c r="B439" s="10"/>
      <c r="F439" s="2" t="n">
        <v>1</v>
      </c>
      <c r="G439" s="2" t="s">
        <v>20</v>
      </c>
      <c r="H439" s="2" t="s">
        <v>21</v>
      </c>
      <c r="I439" s="2" t="s">
        <v>22</v>
      </c>
      <c r="L439" s="10"/>
      <c r="M439" s="1" t="str">
        <f aca="false">IFERROR(VLOOKUP(L439, suppliers!$A$1:$Z$1000, 2, 0), "Enter a valid uuid in the supplier_uuid column")</f>
        <v>Enter a valid uuid in the supplier_uuid column</v>
      </c>
      <c r="N439" s="5" t="n">
        <v>0.1</v>
      </c>
      <c r="O439" s="2" t="s">
        <v>25</v>
      </c>
    </row>
    <row r="440" customFormat="false" ht="12.8" hidden="false" customHeight="false" outlineLevel="0" collapsed="false">
      <c r="A440" s="1" t="s">
        <v>826</v>
      </c>
      <c r="B440" s="10"/>
      <c r="F440" s="2" t="n">
        <v>1</v>
      </c>
      <c r="G440" s="2" t="s">
        <v>20</v>
      </c>
      <c r="H440" s="2" t="s">
        <v>21</v>
      </c>
      <c r="I440" s="2" t="s">
        <v>22</v>
      </c>
      <c r="L440" s="10"/>
      <c r="M440" s="1" t="str">
        <f aca="false">IFERROR(VLOOKUP(L440, suppliers!$A$1:$Z$1000, 2, 0), "Enter a valid uuid in the supplier_uuid column")</f>
        <v>Enter a valid uuid in the supplier_uuid column</v>
      </c>
      <c r="N440" s="5" t="n">
        <v>0.1</v>
      </c>
      <c r="O440" s="2" t="s">
        <v>25</v>
      </c>
    </row>
    <row r="441" customFormat="false" ht="12.8" hidden="false" customHeight="false" outlineLevel="0" collapsed="false">
      <c r="A441" s="1" t="s">
        <v>827</v>
      </c>
      <c r="B441" s="10"/>
      <c r="F441" s="2" t="n">
        <v>1</v>
      </c>
      <c r="G441" s="2" t="s">
        <v>20</v>
      </c>
      <c r="H441" s="2" t="s">
        <v>21</v>
      </c>
      <c r="I441" s="2" t="s">
        <v>22</v>
      </c>
      <c r="L441" s="10"/>
      <c r="M441" s="1" t="str">
        <f aca="false">IFERROR(VLOOKUP(L441, suppliers!$A$1:$Z$1000, 2, 0), "Enter a valid uuid in the supplier_uuid column")</f>
        <v>Enter a valid uuid in the supplier_uuid column</v>
      </c>
      <c r="N441" s="5" t="n">
        <v>0.1</v>
      </c>
      <c r="O441" s="2" t="s">
        <v>25</v>
      </c>
    </row>
    <row r="442" customFormat="false" ht="12.8" hidden="false" customHeight="false" outlineLevel="0" collapsed="false">
      <c r="A442" s="1" t="s">
        <v>828</v>
      </c>
      <c r="B442" s="10"/>
      <c r="F442" s="2" t="n">
        <v>1</v>
      </c>
      <c r="G442" s="2" t="s">
        <v>20</v>
      </c>
      <c r="H442" s="2" t="s">
        <v>21</v>
      </c>
      <c r="I442" s="2" t="s">
        <v>22</v>
      </c>
      <c r="L442" s="10"/>
      <c r="M442" s="1" t="str">
        <f aca="false">IFERROR(VLOOKUP(L442, suppliers!$A$1:$Z$1000, 2, 0), "Enter a valid uuid in the supplier_uuid column")</f>
        <v>Enter a valid uuid in the supplier_uuid column</v>
      </c>
      <c r="N442" s="5" t="n">
        <v>0.1</v>
      </c>
      <c r="O442" s="2" t="s">
        <v>25</v>
      </c>
    </row>
    <row r="443" customFormat="false" ht="12.8" hidden="false" customHeight="false" outlineLevel="0" collapsed="false">
      <c r="A443" s="1" t="s">
        <v>829</v>
      </c>
      <c r="B443" s="10"/>
      <c r="F443" s="2" t="n">
        <v>1</v>
      </c>
      <c r="G443" s="2" t="s">
        <v>20</v>
      </c>
      <c r="H443" s="2" t="s">
        <v>21</v>
      </c>
      <c r="I443" s="2" t="s">
        <v>22</v>
      </c>
      <c r="L443" s="10"/>
      <c r="M443" s="1" t="str">
        <f aca="false">IFERROR(VLOOKUP(L443, suppliers!$A$1:$Z$1000, 2, 0), "Enter a valid uuid in the supplier_uuid column")</f>
        <v>Enter a valid uuid in the supplier_uuid column</v>
      </c>
      <c r="N443" s="5" t="n">
        <v>0.1</v>
      </c>
      <c r="O443" s="2" t="s">
        <v>25</v>
      </c>
    </row>
    <row r="444" customFormat="false" ht="12.8" hidden="false" customHeight="false" outlineLevel="0" collapsed="false">
      <c r="A444" s="1" t="s">
        <v>830</v>
      </c>
      <c r="B444" s="10"/>
      <c r="F444" s="2" t="n">
        <v>1</v>
      </c>
      <c r="G444" s="2" t="s">
        <v>20</v>
      </c>
      <c r="H444" s="2" t="s">
        <v>21</v>
      </c>
      <c r="I444" s="2" t="s">
        <v>22</v>
      </c>
      <c r="L444" s="10"/>
      <c r="M444" s="1" t="str">
        <f aca="false">IFERROR(VLOOKUP(L444, suppliers!$A$1:$Z$1000, 2, 0), "Enter a valid uuid in the supplier_uuid column")</f>
        <v>Enter a valid uuid in the supplier_uuid column</v>
      </c>
      <c r="N444" s="5" t="n">
        <v>0.1</v>
      </c>
      <c r="O444" s="2" t="s">
        <v>25</v>
      </c>
    </row>
    <row r="445" customFormat="false" ht="12.8" hidden="false" customHeight="false" outlineLevel="0" collapsed="false">
      <c r="A445" s="1" t="s">
        <v>831</v>
      </c>
      <c r="B445" s="10"/>
      <c r="F445" s="2" t="n">
        <v>1</v>
      </c>
      <c r="G445" s="2" t="s">
        <v>20</v>
      </c>
      <c r="H445" s="2" t="s">
        <v>21</v>
      </c>
      <c r="I445" s="2" t="s">
        <v>22</v>
      </c>
      <c r="L445" s="10"/>
      <c r="M445" s="1" t="str">
        <f aca="false">IFERROR(VLOOKUP(L445, suppliers!$A$1:$Z$1000, 2, 0), "Enter a valid uuid in the supplier_uuid column")</f>
        <v>Enter a valid uuid in the supplier_uuid column</v>
      </c>
      <c r="N445" s="5" t="n">
        <v>0.1</v>
      </c>
      <c r="O445" s="2" t="s">
        <v>25</v>
      </c>
    </row>
    <row r="446" customFormat="false" ht="12.8" hidden="false" customHeight="false" outlineLevel="0" collapsed="false">
      <c r="A446" s="1" t="s">
        <v>832</v>
      </c>
      <c r="B446" s="10"/>
      <c r="F446" s="2" t="n">
        <v>1</v>
      </c>
      <c r="G446" s="2" t="s">
        <v>20</v>
      </c>
      <c r="H446" s="2" t="s">
        <v>21</v>
      </c>
      <c r="I446" s="2" t="s">
        <v>22</v>
      </c>
      <c r="L446" s="10"/>
      <c r="M446" s="1" t="str">
        <f aca="false">IFERROR(VLOOKUP(L446, suppliers!$A$1:$Z$1000, 2, 0), "Enter a valid uuid in the supplier_uuid column")</f>
        <v>Enter a valid uuid in the supplier_uuid column</v>
      </c>
      <c r="N446" s="5" t="n">
        <v>0.1</v>
      </c>
      <c r="O446" s="2" t="s">
        <v>25</v>
      </c>
    </row>
    <row r="447" customFormat="false" ht="12.8" hidden="false" customHeight="false" outlineLevel="0" collapsed="false">
      <c r="A447" s="1" t="s">
        <v>833</v>
      </c>
      <c r="B447" s="10"/>
      <c r="F447" s="2" t="n">
        <v>1</v>
      </c>
      <c r="G447" s="2" t="s">
        <v>20</v>
      </c>
      <c r="H447" s="2" t="s">
        <v>21</v>
      </c>
      <c r="I447" s="2" t="s">
        <v>22</v>
      </c>
      <c r="L447" s="10"/>
      <c r="M447" s="1" t="str">
        <f aca="false">IFERROR(VLOOKUP(L447, suppliers!$A$1:$Z$1000, 2, 0), "Enter a valid uuid in the supplier_uuid column")</f>
        <v>Enter a valid uuid in the supplier_uuid column</v>
      </c>
      <c r="N447" s="5" t="n">
        <v>0.1</v>
      </c>
      <c r="O447" s="2" t="s">
        <v>25</v>
      </c>
    </row>
    <row r="448" customFormat="false" ht="12.8" hidden="false" customHeight="false" outlineLevel="0" collapsed="false">
      <c r="A448" s="1" t="s">
        <v>834</v>
      </c>
      <c r="B448" s="10"/>
      <c r="F448" s="2" t="n">
        <v>1</v>
      </c>
      <c r="G448" s="2" t="s">
        <v>20</v>
      </c>
      <c r="H448" s="2" t="s">
        <v>21</v>
      </c>
      <c r="I448" s="2" t="s">
        <v>22</v>
      </c>
      <c r="L448" s="10"/>
      <c r="M448" s="1" t="str">
        <f aca="false">IFERROR(VLOOKUP(L448, suppliers!$A$1:$Z$1000, 2, 0), "Enter a valid uuid in the supplier_uuid column")</f>
        <v>Enter a valid uuid in the supplier_uuid column</v>
      </c>
      <c r="N448" s="5" t="n">
        <v>0.1</v>
      </c>
      <c r="O448" s="2" t="s">
        <v>25</v>
      </c>
    </row>
    <row r="449" customFormat="false" ht="12.8" hidden="false" customHeight="false" outlineLevel="0" collapsed="false">
      <c r="A449" s="1" t="s">
        <v>835</v>
      </c>
      <c r="B449" s="10"/>
      <c r="F449" s="2" t="n">
        <v>1</v>
      </c>
      <c r="G449" s="2" t="s">
        <v>20</v>
      </c>
      <c r="H449" s="2" t="s">
        <v>21</v>
      </c>
      <c r="I449" s="2" t="s">
        <v>22</v>
      </c>
      <c r="L449" s="10"/>
      <c r="M449" s="1" t="str">
        <f aca="false">IFERROR(VLOOKUP(L449, suppliers!$A$1:$Z$1000, 2, 0), "Enter a valid uuid in the supplier_uuid column")</f>
        <v>Enter a valid uuid in the supplier_uuid column</v>
      </c>
      <c r="N449" s="5" t="n">
        <v>0.1</v>
      </c>
      <c r="O449" s="2" t="s">
        <v>25</v>
      </c>
    </row>
    <row r="450" customFormat="false" ht="12.8" hidden="false" customHeight="false" outlineLevel="0" collapsed="false">
      <c r="A450" s="1" t="s">
        <v>836</v>
      </c>
      <c r="B450" s="10"/>
      <c r="F450" s="2" t="n">
        <v>1</v>
      </c>
      <c r="G450" s="2" t="s">
        <v>20</v>
      </c>
      <c r="H450" s="2" t="s">
        <v>21</v>
      </c>
      <c r="I450" s="2" t="s">
        <v>22</v>
      </c>
      <c r="L450" s="10"/>
      <c r="M450" s="1" t="str">
        <f aca="false">IFERROR(VLOOKUP(L450, suppliers!$A$1:$Z$1000, 2, 0), "Enter a valid uuid in the supplier_uuid column")</f>
        <v>Enter a valid uuid in the supplier_uuid column</v>
      </c>
      <c r="N450" s="5" t="n">
        <v>0.1</v>
      </c>
      <c r="O450" s="2" t="s">
        <v>25</v>
      </c>
    </row>
    <row r="451" customFormat="false" ht="12.8" hidden="false" customHeight="false" outlineLevel="0" collapsed="false">
      <c r="A451" s="1" t="s">
        <v>837</v>
      </c>
      <c r="B451" s="10"/>
      <c r="F451" s="2" t="n">
        <v>1</v>
      </c>
      <c r="G451" s="2" t="s">
        <v>20</v>
      </c>
      <c r="H451" s="2" t="s">
        <v>21</v>
      </c>
      <c r="I451" s="2" t="s">
        <v>22</v>
      </c>
      <c r="L451" s="10"/>
      <c r="M451" s="1" t="str">
        <f aca="false">IFERROR(VLOOKUP(L451, suppliers!$A$1:$Z$1000, 2, 0), "Enter a valid uuid in the supplier_uuid column")</f>
        <v>Enter a valid uuid in the supplier_uuid column</v>
      </c>
      <c r="N451" s="5" t="n">
        <v>0.1</v>
      </c>
      <c r="O451" s="2" t="s">
        <v>25</v>
      </c>
    </row>
    <row r="452" customFormat="false" ht="12.8" hidden="false" customHeight="false" outlineLevel="0" collapsed="false">
      <c r="A452" s="1" t="s">
        <v>838</v>
      </c>
      <c r="B452" s="10"/>
      <c r="F452" s="2" t="n">
        <v>1</v>
      </c>
      <c r="G452" s="2" t="s">
        <v>20</v>
      </c>
      <c r="H452" s="2" t="s">
        <v>21</v>
      </c>
      <c r="I452" s="2" t="s">
        <v>22</v>
      </c>
      <c r="L452" s="10"/>
      <c r="M452" s="1" t="str">
        <f aca="false">IFERROR(VLOOKUP(L452, suppliers!$A$1:$Z$1000, 2, 0), "Enter a valid uuid in the supplier_uuid column")</f>
        <v>Enter a valid uuid in the supplier_uuid column</v>
      </c>
      <c r="N452" s="5" t="n">
        <v>0.1</v>
      </c>
      <c r="O452" s="2" t="s">
        <v>25</v>
      </c>
    </row>
    <row r="453" customFormat="false" ht="12.8" hidden="false" customHeight="false" outlineLevel="0" collapsed="false">
      <c r="A453" s="1" t="s">
        <v>839</v>
      </c>
      <c r="B453" s="10"/>
      <c r="F453" s="2" t="n">
        <v>1</v>
      </c>
      <c r="G453" s="2" t="s">
        <v>20</v>
      </c>
      <c r="H453" s="2" t="s">
        <v>21</v>
      </c>
      <c r="I453" s="2" t="s">
        <v>22</v>
      </c>
      <c r="L453" s="10"/>
      <c r="M453" s="1" t="str">
        <f aca="false">IFERROR(VLOOKUP(L453, suppliers!$A$1:$Z$1000, 2, 0), "Enter a valid uuid in the supplier_uuid column")</f>
        <v>Enter a valid uuid in the supplier_uuid column</v>
      </c>
      <c r="N453" s="5" t="n">
        <v>0.1</v>
      </c>
      <c r="O453" s="2" t="s">
        <v>25</v>
      </c>
    </row>
    <row r="454" customFormat="false" ht="12.8" hidden="false" customHeight="false" outlineLevel="0" collapsed="false">
      <c r="A454" s="1" t="s">
        <v>840</v>
      </c>
      <c r="B454" s="10"/>
      <c r="F454" s="2" t="n">
        <v>1</v>
      </c>
      <c r="G454" s="2" t="s">
        <v>20</v>
      </c>
      <c r="H454" s="2" t="s">
        <v>21</v>
      </c>
      <c r="I454" s="2" t="s">
        <v>22</v>
      </c>
      <c r="L454" s="10"/>
      <c r="M454" s="1" t="str">
        <f aca="false">IFERROR(VLOOKUP(L454, suppliers!$A$1:$Z$1000, 2, 0), "Enter a valid uuid in the supplier_uuid column")</f>
        <v>Enter a valid uuid in the supplier_uuid column</v>
      </c>
      <c r="N454" s="5" t="n">
        <v>0.1</v>
      </c>
      <c r="O454" s="2" t="s">
        <v>25</v>
      </c>
    </row>
    <row r="455" customFormat="false" ht="12.8" hidden="false" customHeight="false" outlineLevel="0" collapsed="false">
      <c r="A455" s="1" t="s">
        <v>841</v>
      </c>
      <c r="B455" s="10"/>
      <c r="F455" s="2" t="n">
        <v>1</v>
      </c>
      <c r="G455" s="2" t="s">
        <v>20</v>
      </c>
      <c r="H455" s="2" t="s">
        <v>21</v>
      </c>
      <c r="I455" s="2" t="s">
        <v>22</v>
      </c>
      <c r="L455" s="10"/>
      <c r="M455" s="1" t="str">
        <f aca="false">IFERROR(VLOOKUP(L455, suppliers!$A$1:$Z$1000, 2, 0), "Enter a valid uuid in the supplier_uuid column")</f>
        <v>Enter a valid uuid in the supplier_uuid column</v>
      </c>
      <c r="N455" s="5" t="n">
        <v>0.1</v>
      </c>
      <c r="O455" s="2" t="s">
        <v>25</v>
      </c>
    </row>
    <row r="456" customFormat="false" ht="12.8" hidden="false" customHeight="false" outlineLevel="0" collapsed="false">
      <c r="A456" s="1" t="s">
        <v>842</v>
      </c>
      <c r="B456" s="10"/>
      <c r="F456" s="2" t="n">
        <v>1</v>
      </c>
      <c r="G456" s="2" t="s">
        <v>20</v>
      </c>
      <c r="H456" s="2" t="s">
        <v>21</v>
      </c>
      <c r="I456" s="2" t="s">
        <v>22</v>
      </c>
      <c r="L456" s="10"/>
      <c r="M456" s="1" t="str">
        <f aca="false">IFERROR(VLOOKUP(L456, suppliers!$A$1:$Z$1000, 2, 0), "Enter a valid uuid in the supplier_uuid column")</f>
        <v>Enter a valid uuid in the supplier_uuid column</v>
      </c>
      <c r="N456" s="5" t="n">
        <v>0.1</v>
      </c>
      <c r="O456" s="2" t="s">
        <v>25</v>
      </c>
    </row>
    <row r="457" customFormat="false" ht="12.8" hidden="false" customHeight="false" outlineLevel="0" collapsed="false">
      <c r="A457" s="1" t="s">
        <v>843</v>
      </c>
      <c r="B457" s="10"/>
      <c r="F457" s="2" t="n">
        <v>1</v>
      </c>
      <c r="G457" s="2" t="s">
        <v>20</v>
      </c>
      <c r="H457" s="2" t="s">
        <v>21</v>
      </c>
      <c r="I457" s="2" t="s">
        <v>22</v>
      </c>
      <c r="L457" s="10"/>
      <c r="M457" s="1" t="str">
        <f aca="false">IFERROR(VLOOKUP(L457, suppliers!$A$1:$Z$1000, 2, 0), "Enter a valid uuid in the supplier_uuid column")</f>
        <v>Enter a valid uuid in the supplier_uuid column</v>
      </c>
      <c r="N457" s="5" t="n">
        <v>0.1</v>
      </c>
      <c r="O457" s="2" t="s">
        <v>25</v>
      </c>
    </row>
    <row r="458" customFormat="false" ht="12.8" hidden="false" customHeight="false" outlineLevel="0" collapsed="false">
      <c r="A458" s="1" t="s">
        <v>844</v>
      </c>
      <c r="B458" s="10"/>
      <c r="F458" s="2" t="n">
        <v>1</v>
      </c>
      <c r="G458" s="2" t="s">
        <v>20</v>
      </c>
      <c r="H458" s="2" t="s">
        <v>21</v>
      </c>
      <c r="I458" s="2" t="s">
        <v>22</v>
      </c>
      <c r="L458" s="10"/>
      <c r="M458" s="1" t="str">
        <f aca="false">IFERROR(VLOOKUP(L458, suppliers!$A$1:$Z$1000, 2, 0), "Enter a valid uuid in the supplier_uuid column")</f>
        <v>Enter a valid uuid in the supplier_uuid column</v>
      </c>
      <c r="N458" s="5" t="n">
        <v>0.1</v>
      </c>
      <c r="O458" s="2" t="s">
        <v>25</v>
      </c>
    </row>
    <row r="459" customFormat="false" ht="12.8" hidden="false" customHeight="false" outlineLevel="0" collapsed="false">
      <c r="A459" s="1" t="s">
        <v>845</v>
      </c>
      <c r="B459" s="10"/>
      <c r="F459" s="2" t="n">
        <v>1</v>
      </c>
      <c r="G459" s="2" t="s">
        <v>20</v>
      </c>
      <c r="H459" s="2" t="s">
        <v>21</v>
      </c>
      <c r="I459" s="2" t="s">
        <v>22</v>
      </c>
      <c r="L459" s="10"/>
      <c r="M459" s="1" t="str">
        <f aca="false">IFERROR(VLOOKUP(L459, suppliers!$A$1:$Z$1000, 2, 0), "Enter a valid uuid in the supplier_uuid column")</f>
        <v>Enter a valid uuid in the supplier_uuid column</v>
      </c>
      <c r="N459" s="5" t="n">
        <v>0.1</v>
      </c>
      <c r="O459" s="2" t="s">
        <v>25</v>
      </c>
    </row>
    <row r="460" customFormat="false" ht="12.8" hidden="false" customHeight="false" outlineLevel="0" collapsed="false">
      <c r="A460" s="1" t="s">
        <v>846</v>
      </c>
      <c r="B460" s="10"/>
      <c r="F460" s="2" t="n">
        <v>1</v>
      </c>
      <c r="G460" s="2" t="s">
        <v>20</v>
      </c>
      <c r="H460" s="2" t="s">
        <v>21</v>
      </c>
      <c r="I460" s="2" t="s">
        <v>22</v>
      </c>
      <c r="L460" s="10"/>
      <c r="M460" s="1" t="str">
        <f aca="false">IFERROR(VLOOKUP(L460, suppliers!$A$1:$Z$1000, 2, 0), "Enter a valid uuid in the supplier_uuid column")</f>
        <v>Enter a valid uuid in the supplier_uuid column</v>
      </c>
      <c r="N460" s="5" t="n">
        <v>0.1</v>
      </c>
      <c r="O460" s="2" t="s">
        <v>25</v>
      </c>
    </row>
    <row r="461" customFormat="false" ht="12.8" hidden="false" customHeight="false" outlineLevel="0" collapsed="false">
      <c r="A461" s="1" t="s">
        <v>847</v>
      </c>
      <c r="B461" s="10"/>
      <c r="F461" s="2" t="n">
        <v>1</v>
      </c>
      <c r="G461" s="2" t="s">
        <v>20</v>
      </c>
      <c r="H461" s="2" t="s">
        <v>21</v>
      </c>
      <c r="I461" s="2" t="s">
        <v>22</v>
      </c>
      <c r="L461" s="10"/>
      <c r="M461" s="1" t="str">
        <f aca="false">IFERROR(VLOOKUP(L461, suppliers!$A$1:$Z$1000, 2, 0), "Enter a valid uuid in the supplier_uuid column")</f>
        <v>Enter a valid uuid in the supplier_uuid column</v>
      </c>
      <c r="N461" s="5" t="n">
        <v>0.1</v>
      </c>
      <c r="O461" s="2" t="s">
        <v>25</v>
      </c>
    </row>
  </sheetData>
  <autoFilter ref="A1:O461"/>
  <dataValidations count="2">
    <dataValidation allowBlank="true" errorStyle="stop" operator="equal" showDropDown="false" showErrorMessage="true" showInputMessage="false" sqref="L2:L461" type="list">
      <formula1>suppliers!$A$2:$A$9999</formula1>
      <formula2>0</formula2>
    </dataValidation>
    <dataValidation allowBlank="true" errorStyle="stop" operator="equal" showDropDown="false" showErrorMessage="true" showInputMessage="false" sqref="B2:B461" type="list">
      <formula1>numbering_system!$A$2:$A$9999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3" activeCellId="0" sqref="C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7.28"/>
    <col collapsed="false" customWidth="true" hidden="false" outlineLevel="0" max="2" min="2" style="2" width="31.86"/>
    <col collapsed="false" customWidth="true" hidden="false" outlineLevel="0" max="3" min="3" style="2" width="39.09"/>
    <col collapsed="false" customWidth="true" hidden="false" outlineLevel="0" max="4" min="4" style="2" width="21.14"/>
    <col collapsed="false" customWidth="true" hidden="false" outlineLevel="0" max="5" min="5" style="3" width="16.27"/>
    <col collapsed="false" customWidth="true" hidden="false" outlineLevel="0" max="6" min="6" style="3" width="14.88"/>
    <col collapsed="false" customWidth="true" hidden="false" outlineLevel="0" max="7" min="7" style="2" width="19.48"/>
    <col collapsed="false" customWidth="true" hidden="false" outlineLevel="0" max="8" min="8" style="2" width="14.47"/>
    <col collapsed="false" customWidth="false" hidden="false" outlineLevel="0" max="16384" min="9" style="2" width="11.53"/>
  </cols>
  <sheetData>
    <row r="1" customFormat="false" ht="12.8" hidden="false" customHeight="false" outlineLevel="0" collapsed="false">
      <c r="A1" s="6" t="s">
        <v>0</v>
      </c>
      <c r="B1" s="6" t="s">
        <v>3</v>
      </c>
      <c r="C1" s="6" t="s">
        <v>4</v>
      </c>
      <c r="D1" s="6" t="s">
        <v>848</v>
      </c>
      <c r="E1" s="7" t="s">
        <v>849</v>
      </c>
      <c r="F1" s="7" t="s">
        <v>850</v>
      </c>
      <c r="G1" s="6" t="s">
        <v>851</v>
      </c>
      <c r="H1" s="6" t="s">
        <v>852</v>
      </c>
    </row>
    <row r="2" customFormat="false" ht="12.8" hidden="false" customHeight="false" outlineLevel="0" collapsed="false">
      <c r="A2" s="1" t="s">
        <v>24</v>
      </c>
      <c r="B2" s="2" t="s">
        <v>853</v>
      </c>
      <c r="C2" s="2" t="s">
        <v>854</v>
      </c>
      <c r="D2" s="2" t="s">
        <v>855</v>
      </c>
      <c r="E2" s="3" t="n">
        <v>12</v>
      </c>
      <c r="F2" s="11" t="n">
        <v>74653</v>
      </c>
      <c r="G2" s="2" t="s">
        <v>856</v>
      </c>
      <c r="H2" s="2" t="s">
        <v>857</v>
      </c>
    </row>
    <row r="3" customFormat="false" ht="12.8" hidden="false" customHeight="false" outlineLevel="0" collapsed="false">
      <c r="A3" s="1" t="s">
        <v>858</v>
      </c>
      <c r="B3" s="2" t="s">
        <v>859</v>
      </c>
      <c r="C3" s="2" t="s">
        <v>860</v>
      </c>
      <c r="D3" s="2" t="s">
        <v>861</v>
      </c>
      <c r="E3" s="3" t="n">
        <v>1</v>
      </c>
      <c r="F3" s="3" t="n">
        <v>70839</v>
      </c>
      <c r="G3" s="2" t="s">
        <v>862</v>
      </c>
      <c r="H3" s="2" t="s">
        <v>857</v>
      </c>
    </row>
    <row r="4" customFormat="false" ht="12.8" hidden="false" customHeight="false" outlineLevel="0" collapsed="false">
      <c r="A4" s="1" t="s">
        <v>863</v>
      </c>
      <c r="B4" s="2" t="s">
        <v>864</v>
      </c>
      <c r="C4" s="2" t="s">
        <v>865</v>
      </c>
      <c r="D4" s="2" t="s">
        <v>866</v>
      </c>
      <c r="E4" s="3" t="n">
        <v>31</v>
      </c>
      <c r="F4" s="3" t="n">
        <v>53757</v>
      </c>
      <c r="G4" s="2" t="s">
        <v>867</v>
      </c>
      <c r="H4" s="2" t="s">
        <v>857</v>
      </c>
    </row>
    <row r="5" customFormat="false" ht="12.8" hidden="false" customHeight="false" outlineLevel="0" collapsed="false">
      <c r="A5" s="1" t="s">
        <v>868</v>
      </c>
      <c r="B5" s="2" t="s">
        <v>869</v>
      </c>
      <c r="C5" s="2" t="s">
        <v>870</v>
      </c>
      <c r="D5" s="2" t="s">
        <v>871</v>
      </c>
      <c r="E5" s="3" t="n">
        <v>9</v>
      </c>
      <c r="F5" s="3" t="n">
        <v>85521</v>
      </c>
      <c r="G5" s="2" t="s">
        <v>872</v>
      </c>
      <c r="H5" s="2" t="s">
        <v>857</v>
      </c>
    </row>
    <row r="6" customFormat="false" ht="12.8" hidden="false" customHeight="false" outlineLevel="0" collapsed="false">
      <c r="A6" s="1" t="s">
        <v>873</v>
      </c>
      <c r="B6" s="2" t="s">
        <v>874</v>
      </c>
      <c r="C6" s="2" t="s">
        <v>875</v>
      </c>
      <c r="D6" s="2" t="s">
        <v>876</v>
      </c>
      <c r="E6" s="3" t="s">
        <v>877</v>
      </c>
      <c r="F6" s="3" t="s">
        <v>878</v>
      </c>
      <c r="G6" s="2" t="s">
        <v>879</v>
      </c>
      <c r="H6" s="2" t="s">
        <v>857</v>
      </c>
    </row>
    <row r="7" customFormat="false" ht="12.8" hidden="false" customHeight="false" outlineLevel="0" collapsed="false">
      <c r="A7" s="1" t="s">
        <v>880</v>
      </c>
    </row>
    <row r="8" customFormat="false" ht="12.8" hidden="false" customHeight="false" outlineLevel="0" collapsed="false">
      <c r="A8" s="1" t="s">
        <v>881</v>
      </c>
    </row>
    <row r="9" customFormat="false" ht="12.8" hidden="false" customHeight="false" outlineLevel="0" collapsed="false">
      <c r="A9" s="1" t="s">
        <v>882</v>
      </c>
    </row>
    <row r="10" customFormat="false" ht="12.8" hidden="false" customHeight="false" outlineLevel="0" collapsed="false">
      <c r="A10" s="1" t="s">
        <v>883</v>
      </c>
    </row>
    <row r="11" customFormat="false" ht="12.8" hidden="false" customHeight="false" outlineLevel="0" collapsed="false">
      <c r="A11" s="1" t="s">
        <v>884</v>
      </c>
    </row>
    <row r="12" customFormat="false" ht="12.8" hidden="false" customHeight="false" outlineLevel="0" collapsed="false">
      <c r="A12" s="1" t="s">
        <v>885</v>
      </c>
    </row>
    <row r="13" customFormat="false" ht="12.8" hidden="false" customHeight="false" outlineLevel="0" collapsed="false">
      <c r="A13" s="1" t="s">
        <v>886</v>
      </c>
    </row>
    <row r="14" customFormat="false" ht="12.8" hidden="false" customHeight="false" outlineLevel="0" collapsed="false">
      <c r="A14" s="1" t="s">
        <v>887</v>
      </c>
    </row>
    <row r="15" customFormat="false" ht="12.8" hidden="false" customHeight="false" outlineLevel="0" collapsed="false">
      <c r="A15" s="1" t="s">
        <v>888</v>
      </c>
    </row>
    <row r="16" customFormat="false" ht="12.8" hidden="false" customHeight="false" outlineLevel="0" collapsed="false">
      <c r="A16" s="1" t="s">
        <v>889</v>
      </c>
    </row>
    <row r="17" customFormat="false" ht="12.8" hidden="false" customHeight="false" outlineLevel="0" collapsed="false">
      <c r="A17" s="1" t="s">
        <v>890</v>
      </c>
    </row>
    <row r="18" customFormat="false" ht="12.8" hidden="false" customHeight="false" outlineLevel="0" collapsed="false">
      <c r="A18" s="1" t="s">
        <v>891</v>
      </c>
    </row>
    <row r="19" customFormat="false" ht="12.8" hidden="false" customHeight="false" outlineLevel="0" collapsed="false">
      <c r="A19" s="1" t="s">
        <v>892</v>
      </c>
    </row>
    <row r="20" customFormat="false" ht="12.8" hidden="false" customHeight="false" outlineLevel="0" collapsed="false">
      <c r="A20" s="1" t="s">
        <v>893</v>
      </c>
    </row>
    <row r="21" customFormat="false" ht="12.8" hidden="false" customHeight="false" outlineLevel="0" collapsed="false">
      <c r="A21" s="1" t="s">
        <v>894</v>
      </c>
    </row>
    <row r="22" customFormat="false" ht="12.8" hidden="false" customHeight="false" outlineLevel="0" collapsed="false">
      <c r="A22" s="1" t="s">
        <v>895</v>
      </c>
    </row>
    <row r="23" customFormat="false" ht="12.8" hidden="false" customHeight="false" outlineLevel="0" collapsed="false">
      <c r="A23" s="1" t="s">
        <v>896</v>
      </c>
    </row>
    <row r="24" customFormat="false" ht="12.8" hidden="false" customHeight="false" outlineLevel="0" collapsed="false">
      <c r="A24" s="1" t="s">
        <v>897</v>
      </c>
    </row>
    <row r="25" customFormat="false" ht="12.8" hidden="false" customHeight="false" outlineLevel="0" collapsed="false">
      <c r="A25" s="1" t="s">
        <v>898</v>
      </c>
    </row>
    <row r="26" customFormat="false" ht="12.8" hidden="false" customHeight="false" outlineLevel="0" collapsed="false">
      <c r="A26" s="1" t="s">
        <v>899</v>
      </c>
    </row>
    <row r="27" customFormat="false" ht="12.8" hidden="false" customHeight="false" outlineLevel="0" collapsed="false">
      <c r="A27" s="1" t="s">
        <v>900</v>
      </c>
    </row>
    <row r="28" customFormat="false" ht="12.8" hidden="false" customHeight="false" outlineLevel="0" collapsed="false">
      <c r="A28" s="1" t="s">
        <v>901</v>
      </c>
    </row>
    <row r="29" customFormat="false" ht="12.8" hidden="false" customHeight="false" outlineLevel="0" collapsed="false">
      <c r="A29" s="1" t="s">
        <v>902</v>
      </c>
    </row>
    <row r="30" customFormat="false" ht="12.8" hidden="false" customHeight="false" outlineLevel="0" collapsed="false">
      <c r="A30" s="1" t="s">
        <v>903</v>
      </c>
    </row>
    <row r="31" customFormat="false" ht="12.8" hidden="false" customHeight="false" outlineLevel="0" collapsed="false">
      <c r="A31" s="1" t="s">
        <v>904</v>
      </c>
    </row>
    <row r="32" customFormat="false" ht="12.8" hidden="false" customHeight="false" outlineLevel="0" collapsed="false">
      <c r="A32" s="1" t="s">
        <v>905</v>
      </c>
    </row>
    <row r="33" customFormat="false" ht="12.8" hidden="false" customHeight="false" outlineLevel="0" collapsed="false">
      <c r="A33" s="1" t="s">
        <v>906</v>
      </c>
    </row>
    <row r="34" customFormat="false" ht="12.8" hidden="false" customHeight="false" outlineLevel="0" collapsed="false">
      <c r="A34" s="1" t="s">
        <v>907</v>
      </c>
    </row>
    <row r="35" customFormat="false" ht="12.8" hidden="false" customHeight="false" outlineLevel="0" collapsed="false">
      <c r="A35" s="1" t="s">
        <v>908</v>
      </c>
    </row>
    <row r="36" customFormat="false" ht="12.8" hidden="false" customHeight="false" outlineLevel="0" collapsed="false">
      <c r="A36" s="1" t="s">
        <v>909</v>
      </c>
    </row>
    <row r="37" customFormat="false" ht="12.8" hidden="false" customHeight="false" outlineLevel="0" collapsed="false">
      <c r="A37" s="1" t="s">
        <v>910</v>
      </c>
    </row>
    <row r="38" customFormat="false" ht="12.8" hidden="false" customHeight="false" outlineLevel="0" collapsed="false">
      <c r="A38" s="1" t="s">
        <v>911</v>
      </c>
    </row>
    <row r="39" customFormat="false" ht="12.8" hidden="false" customHeight="false" outlineLevel="0" collapsed="false">
      <c r="A39" s="1" t="s">
        <v>912</v>
      </c>
    </row>
    <row r="40" customFormat="false" ht="12.8" hidden="false" customHeight="false" outlineLevel="0" collapsed="false">
      <c r="A40" s="1" t="s">
        <v>913</v>
      </c>
    </row>
    <row r="41" customFormat="false" ht="12.8" hidden="false" customHeight="false" outlineLevel="0" collapsed="false">
      <c r="A41" s="1" t="s">
        <v>914</v>
      </c>
    </row>
  </sheetData>
  <autoFilter ref="A1:H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2" width="12.79"/>
    <col collapsed="false" customWidth="true" hidden="false" outlineLevel="0" max="2" min="2" style="12" width="154.98"/>
  </cols>
  <sheetData>
    <row r="1" s="12" customFormat="true" ht="12.8" hidden="false" customHeight="false" outlineLevel="0" collapsed="false">
      <c r="A1" s="13" t="s">
        <v>2</v>
      </c>
      <c r="B1" s="13" t="s">
        <v>4</v>
      </c>
    </row>
    <row r="2" customFormat="false" ht="12.8" hidden="false" customHeight="false" outlineLevel="0" collapsed="false">
      <c r="A2" s="12" t="s">
        <v>345</v>
      </c>
      <c r="B2" s="12" t="s">
        <v>915</v>
      </c>
    </row>
    <row r="3" customFormat="false" ht="12.8" hidden="false" customHeight="false" outlineLevel="0" collapsed="false">
      <c r="A3" s="12" t="s">
        <v>916</v>
      </c>
      <c r="B3" s="12" t="s">
        <v>917</v>
      </c>
    </row>
    <row r="4" customFormat="false" ht="12.8" hidden="false" customHeight="false" outlineLevel="0" collapsed="false">
      <c r="A4" s="12" t="s">
        <v>918</v>
      </c>
      <c r="B4" s="12" t="s">
        <v>919</v>
      </c>
    </row>
    <row r="5" customFormat="false" ht="12.8" hidden="false" customHeight="false" outlineLevel="0" collapsed="false">
      <c r="A5" s="12" t="s">
        <v>16</v>
      </c>
      <c r="B5" s="12" t="s">
        <v>920</v>
      </c>
    </row>
    <row r="6" customFormat="false" ht="12.8" hidden="false" customHeight="false" outlineLevel="0" collapsed="false">
      <c r="A6" s="12" t="s">
        <v>921</v>
      </c>
      <c r="B6" s="12" t="s">
        <v>922</v>
      </c>
    </row>
    <row r="7" customFormat="false" ht="12.8" hidden="false" customHeight="false" outlineLevel="0" collapsed="false">
      <c r="A7" s="12" t="s">
        <v>923</v>
      </c>
      <c r="B7" s="12" t="s">
        <v>924</v>
      </c>
    </row>
    <row r="8" customFormat="false" ht="12.8" hidden="false" customHeight="false" outlineLevel="0" collapsed="false">
      <c r="A8" s="12" t="s">
        <v>925</v>
      </c>
      <c r="B8" s="12" t="s">
        <v>926</v>
      </c>
    </row>
    <row r="16" customFormat="false" ht="12.8" hidden="false" customHeight="false" outlineLevel="0" collapsed="false">
      <c r="F16" s="14"/>
    </row>
    <row r="17" customFormat="false" ht="12.8" hidden="false" customHeight="false" outlineLevel="0" collapsed="false">
      <c r="B17" s="14"/>
    </row>
    <row r="26" customFormat="false" ht="12.8" hidden="false" customHeight="false" outlineLevel="0" collapsed="false">
      <c r="B26" s="14"/>
    </row>
  </sheetData>
  <autoFilter ref="A1:B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5" width="11.53"/>
    <col collapsed="false" customWidth="false" hidden="false" outlineLevel="0" max="2" min="2" style="16" width="11.53"/>
    <col collapsed="false" customWidth="false" hidden="false" outlineLevel="0" max="3" min="3" style="17" width="11.53"/>
  </cols>
  <sheetData>
    <row r="1" s="21" customFormat="true" ht="37.3" hidden="false" customHeight="true" outlineLevel="0" collapsed="false">
      <c r="A1" s="18" t="s">
        <v>927</v>
      </c>
      <c r="B1" s="19" t="s">
        <v>928</v>
      </c>
      <c r="C1" s="20" t="s">
        <v>929</v>
      </c>
    </row>
    <row r="2" customFormat="false" ht="12.8" hidden="false" customHeight="false" outlineLevel="0" collapsed="false">
      <c r="A2" s="15" t="n">
        <v>0.19</v>
      </c>
      <c r="B2" s="16" t="n">
        <v>14.2</v>
      </c>
      <c r="C2" s="17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O23" activeCellId="0" sqref="O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3.76"/>
    <col collapsed="false" customWidth="true" hidden="false" outlineLevel="0" max="6" min="6" style="0" width="14.6"/>
  </cols>
  <sheetData>
    <row r="1" customFormat="false" ht="12.8" hidden="false" customHeight="false" outlineLevel="0" collapsed="false">
      <c r="A1" s="22"/>
      <c r="B1" s="22"/>
      <c r="C1" s="22"/>
      <c r="D1" s="22"/>
      <c r="E1" s="22"/>
      <c r="F1" s="22"/>
      <c r="G1" s="22"/>
      <c r="H1" s="22"/>
      <c r="I1" s="22"/>
    </row>
    <row r="2" customFormat="false" ht="12.8" hidden="false" customHeight="false" outlineLevel="0" collapsed="false">
      <c r="A2" s="22"/>
      <c r="B2" s="22"/>
      <c r="C2" s="22"/>
      <c r="D2" s="22"/>
      <c r="F2" s="22"/>
      <c r="G2" s="22"/>
      <c r="H2" s="22"/>
      <c r="I2" s="22"/>
    </row>
    <row r="3" customFormat="false" ht="12.8" hidden="false" customHeight="false" outlineLevel="0" collapsed="false">
      <c r="A3" s="22"/>
      <c r="B3" s="22"/>
      <c r="C3" s="22"/>
      <c r="D3" s="22"/>
      <c r="E3" s="22"/>
      <c r="F3" s="22"/>
      <c r="G3" s="22"/>
      <c r="H3" s="22"/>
      <c r="I3" s="22"/>
    </row>
    <row r="4" customFormat="false" ht="12.8" hidden="false" customHeight="false" outlineLevel="0" collapsed="false">
      <c r="A4" s="22"/>
      <c r="B4" s="22"/>
      <c r="C4" s="22"/>
      <c r="D4" s="22"/>
      <c r="E4" s="22"/>
      <c r="F4" s="22"/>
      <c r="G4" s="22"/>
      <c r="H4" s="22"/>
      <c r="I4" s="22"/>
    </row>
    <row r="5" customFormat="false" ht="12.8" hidden="false" customHeight="false" outlineLevel="0" collapsed="false">
      <c r="A5" s="22"/>
      <c r="B5" s="22"/>
      <c r="C5" s="22"/>
      <c r="D5" s="22"/>
      <c r="E5" s="22"/>
      <c r="F5" s="22"/>
      <c r="G5" s="22"/>
      <c r="H5" s="22"/>
      <c r="I5" s="22"/>
    </row>
    <row r="6" customFormat="false" ht="12.8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22"/>
    </row>
    <row r="7" customFormat="false" ht="12.8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22"/>
    </row>
    <row r="8" customFormat="false" ht="12.8" hidden="false" customHeight="true" outlineLevel="0" collapsed="false">
      <c r="A8" s="23" t="s">
        <v>930</v>
      </c>
      <c r="B8" s="23"/>
      <c r="C8" s="23"/>
      <c r="D8" s="23"/>
      <c r="E8" s="23"/>
      <c r="F8" s="23"/>
      <c r="G8" s="22"/>
      <c r="H8" s="22"/>
      <c r="I8" s="22"/>
    </row>
    <row r="9" customFormat="false" ht="12.8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</row>
    <row r="10" customFormat="false" ht="12.8" hidden="false" customHeight="true" outlineLevel="0" collapsed="false">
      <c r="A10" s="23" t="s">
        <v>931</v>
      </c>
      <c r="B10" s="23"/>
      <c r="C10" s="23"/>
      <c r="D10" s="22"/>
      <c r="E10" s="22"/>
      <c r="F10" s="22"/>
      <c r="G10" s="22"/>
      <c r="H10" s="22"/>
      <c r="I10" s="22"/>
    </row>
    <row r="11" customFormat="false" ht="12.8" hidden="false" customHeight="true" outlineLevel="0" collapsed="false">
      <c r="A11" s="23" t="s">
        <v>932</v>
      </c>
      <c r="B11" s="23"/>
      <c r="C11" s="23"/>
      <c r="D11" s="22"/>
      <c r="E11" s="22"/>
      <c r="F11" s="22"/>
      <c r="G11" s="22"/>
      <c r="H11" s="22"/>
      <c r="I11" s="22"/>
    </row>
    <row r="12" customFormat="false" ht="12.8" hidden="false" customHeight="true" outlineLevel="0" collapsed="false">
      <c r="A12" s="23" t="s">
        <v>933</v>
      </c>
      <c r="B12" s="23"/>
      <c r="C12" s="23"/>
      <c r="D12" s="22"/>
      <c r="E12" s="22"/>
      <c r="F12" s="22"/>
      <c r="G12" s="22"/>
      <c r="H12" s="22"/>
      <c r="I12" s="22"/>
    </row>
    <row r="13" customFormat="false" ht="12.8" hidden="false" customHeight="true" outlineLevel="0" collapsed="false">
      <c r="A13" s="23" t="s">
        <v>934</v>
      </c>
      <c r="B13" s="23"/>
      <c r="C13" s="23"/>
      <c r="D13" s="22"/>
      <c r="E13" s="22"/>
      <c r="F13" s="22"/>
      <c r="G13" s="22"/>
      <c r="H13" s="22"/>
      <c r="I13" s="22"/>
    </row>
    <row r="14" customFormat="false" ht="17.9" hidden="false" customHeight="true" outlineLevel="0" collapsed="false">
      <c r="A14" s="22"/>
      <c r="B14" s="22"/>
      <c r="C14" s="22"/>
      <c r="D14" s="22"/>
      <c r="E14" s="22"/>
      <c r="F14" s="23" t="s">
        <v>935</v>
      </c>
      <c r="G14" s="23" t="n">
        <v>9</v>
      </c>
    </row>
    <row r="15" customFormat="false" ht="19.4" hidden="false" customHeight="true" outlineLevel="0" collapsed="false">
      <c r="A15" s="22"/>
      <c r="B15" s="22"/>
      <c r="C15" s="22"/>
      <c r="D15" s="22"/>
      <c r="E15" s="22"/>
      <c r="F15" s="23" t="s">
        <v>936</v>
      </c>
      <c r="G15" s="23" t="n">
        <v>40</v>
      </c>
    </row>
    <row r="16" customFormat="false" ht="17.15" hidden="false" customHeight="true" outlineLevel="0" collapsed="false">
      <c r="A16" s="22"/>
      <c r="B16" s="22"/>
      <c r="C16" s="22"/>
      <c r="D16" s="22"/>
      <c r="E16" s="22"/>
      <c r="F16" s="23" t="s">
        <v>937</v>
      </c>
      <c r="G16" s="24" t="n">
        <v>45951</v>
      </c>
    </row>
    <row r="17" customFormat="false" ht="12.8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22"/>
    </row>
    <row r="18" customFormat="false" ht="12.8" hidden="false" customHeight="false" outlineLevel="0" collapsed="false">
      <c r="A18" s="23" t="s">
        <v>938</v>
      </c>
      <c r="B18" s="22"/>
      <c r="C18" s="22"/>
      <c r="D18" s="22"/>
      <c r="E18" s="22"/>
      <c r="F18" s="22"/>
      <c r="G18" s="22"/>
      <c r="H18" s="22"/>
      <c r="I18" s="22"/>
    </row>
    <row r="19" customFormat="false" ht="12.8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</row>
    <row r="20" customFormat="false" ht="29.85" hidden="false" customHeight="true" outlineLevel="0" collapsed="false">
      <c r="A20" s="23" t="s">
        <v>939</v>
      </c>
      <c r="B20" s="23"/>
      <c r="C20" s="23"/>
      <c r="D20" s="23"/>
      <c r="E20" s="23"/>
      <c r="F20" s="23"/>
      <c r="G20" s="23"/>
    </row>
    <row r="21" customFormat="false" ht="12.8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</row>
    <row r="22" customFormat="false" ht="12.8" hidden="false" customHeight="true" outlineLevel="0" collapsed="false">
      <c r="A22" s="25" t="s">
        <v>940</v>
      </c>
      <c r="B22" s="25" t="s">
        <v>941</v>
      </c>
      <c r="C22" s="25"/>
      <c r="D22" s="25"/>
      <c r="E22" s="25"/>
      <c r="F22" s="25"/>
      <c r="G22" s="25" t="s">
        <v>942</v>
      </c>
    </row>
    <row r="23" customFormat="false" ht="176.85" hidden="false" customHeight="true" outlineLevel="0" collapsed="false">
      <c r="A23" s="26" t="n">
        <v>1</v>
      </c>
      <c r="B23" s="26"/>
      <c r="C23" s="26"/>
      <c r="D23" s="26"/>
      <c r="E23" s="26"/>
      <c r="F23" s="26"/>
      <c r="G23" s="27" t="n">
        <v>100</v>
      </c>
      <c r="I23" s="23"/>
    </row>
    <row r="24" customFormat="false" ht="12.8" hidden="false" customHeight="true" outlineLevel="0" collapsed="false">
      <c r="A24" s="28" t="s">
        <v>943</v>
      </c>
      <c r="B24" s="28"/>
      <c r="C24" s="28"/>
      <c r="D24" s="28"/>
      <c r="E24" s="28"/>
      <c r="F24" s="28"/>
      <c r="G24" s="29" t="n">
        <f aca="false">SUM(G23)</f>
        <v>100</v>
      </c>
      <c r="I24" s="30"/>
    </row>
    <row r="25" customFormat="false" ht="12.8" hidden="false" customHeight="false" outlineLevel="0" collapsed="false">
      <c r="A25" s="22"/>
      <c r="B25" s="22"/>
      <c r="I25" s="22"/>
    </row>
    <row r="26" customFormat="false" ht="12.8" hidden="false" customHeight="false" outlineLevel="0" collapsed="false">
      <c r="A26" s="22"/>
      <c r="C26" s="22"/>
      <c r="D26" s="22"/>
      <c r="E26" s="22"/>
      <c r="F26" s="22"/>
      <c r="G26" s="22"/>
      <c r="H26" s="22"/>
      <c r="I26" s="22"/>
    </row>
    <row r="27" customFormat="false" ht="12.8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</row>
    <row r="28" customFormat="false" ht="86.55" hidden="false" customHeight="true" outlineLevel="0" collapsed="false">
      <c r="A28" s="23" t="s">
        <v>944</v>
      </c>
      <c r="B28" s="23"/>
      <c r="C28" s="23"/>
      <c r="D28" s="23"/>
      <c r="E28" s="23"/>
      <c r="F28" s="23"/>
      <c r="G28" s="23"/>
    </row>
  </sheetData>
  <mergeCells count="10">
    <mergeCell ref="A8:F8"/>
    <mergeCell ref="A10:C10"/>
    <mergeCell ref="A11:C11"/>
    <mergeCell ref="A12:C12"/>
    <mergeCell ref="A13:C13"/>
    <mergeCell ref="A20:G20"/>
    <mergeCell ref="B22:F22"/>
    <mergeCell ref="B23:F23"/>
    <mergeCell ref="A24:F24"/>
    <mergeCell ref="A28:G28"/>
  </mergeCells>
  <printOptions headings="false" gridLines="false" gridLinesSet="true" horizontalCentered="false" verticalCentered="false"/>
  <pageMargins left="0.7875" right="0.7875" top="0.7875" bottom="1.05277777777778" header="0.511811023622047" footer="0.7875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>&amp;C&amp;"Times New Roman,Regular"&amp;12Page &amp;P</oddFooter>
    <firstHeader/>
    <firstFooter>&amp;L&amp;"Times New Roman,Regular"&amp;12asdas&amp;C&amp;"Times New Roman,Regular"&amp;12dasdasd&amp;R&amp;"Times New Roman,Regular"&amp;12asd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7.28"/>
    <col collapsed="false" customWidth="false" hidden="false" outlineLevel="0" max="2" min="2" style="31" width="11.53"/>
    <col collapsed="false" customWidth="true" hidden="false" outlineLevel="0" max="3" min="3" style="2" width="29.63"/>
    <col collapsed="false" customWidth="true" hidden="false" outlineLevel="0" max="4" min="4" style="32" width="14.06"/>
    <col collapsed="false" customWidth="true" hidden="false" outlineLevel="0" max="5" min="5" style="33" width="14.06"/>
    <col collapsed="false" customWidth="true" hidden="false" outlineLevel="0" max="6" min="6" style="1" width="14.33"/>
    <col collapsed="false" customWidth="true" hidden="false" outlineLevel="0" max="7" min="7" style="33" width="15.3"/>
    <col collapsed="false" customWidth="true" hidden="false" outlineLevel="0" max="8" min="8" style="1" width="15.58"/>
    <col collapsed="false" customWidth="true" hidden="false" outlineLevel="0" max="9" min="9" style="1" width="15.85"/>
    <col collapsed="false" customWidth="true" hidden="false" outlineLevel="0" max="10" min="10" style="34" width="12.51"/>
    <col collapsed="false" customWidth="true" hidden="false" outlineLevel="0" max="11" min="11" style="33" width="12.51"/>
    <col collapsed="false" customWidth="true" hidden="false" outlineLevel="0" max="12" min="12" style="1" width="12.79"/>
    <col collapsed="false" customWidth="false" hidden="false" outlineLevel="0" max="13" min="13" style="35" width="11.53"/>
    <col collapsed="false" customWidth="false" hidden="false" outlineLevel="0" max="15" min="14" style="1" width="11.53"/>
    <col collapsed="false" customWidth="false" hidden="false" outlineLevel="0" max="16384" min="16" style="2" width="11.53"/>
  </cols>
  <sheetData>
    <row r="1" customFormat="false" ht="40.25" hidden="false" customHeight="true" outlineLevel="0" collapsed="false">
      <c r="A1" s="6" t="s">
        <v>0</v>
      </c>
      <c r="B1" s="7" t="s">
        <v>945</v>
      </c>
      <c r="C1" s="6" t="s">
        <v>3</v>
      </c>
      <c r="D1" s="36" t="s">
        <v>946</v>
      </c>
      <c r="E1" s="37" t="s">
        <v>947</v>
      </c>
      <c r="F1" s="38" t="s">
        <v>948</v>
      </c>
      <c r="G1" s="37" t="s">
        <v>928</v>
      </c>
      <c r="H1" s="38" t="s">
        <v>949</v>
      </c>
      <c r="I1" s="38" t="s">
        <v>950</v>
      </c>
      <c r="J1" s="39" t="s">
        <v>951</v>
      </c>
      <c r="K1" s="37" t="s">
        <v>952</v>
      </c>
      <c r="L1" s="38" t="s">
        <v>953</v>
      </c>
      <c r="M1" s="39" t="s">
        <v>954</v>
      </c>
      <c r="N1" s="38" t="s">
        <v>955</v>
      </c>
      <c r="O1" s="38" t="s">
        <v>956</v>
      </c>
    </row>
    <row r="2" customFormat="false" ht="12.8" hidden="false" customHeight="false" outlineLevel="0" collapsed="false">
      <c r="A2" s="1" t="s">
        <v>957</v>
      </c>
      <c r="B2" s="31" t="s">
        <v>958</v>
      </c>
      <c r="C2" s="2" t="s">
        <v>959</v>
      </c>
      <c r="D2" s="32" t="n">
        <f aca="true">IF(C2&lt;&gt;"", SUM(INDEX(INDIRECT("'" &amp; B2 &amp; "'.$A$1:$Z$1000"), 0, MATCH("count", INDIRECT("'" &amp; B2 &amp; "'.$A$1:$Z$1"), 0))), "")</f>
        <v>361</v>
      </c>
      <c r="E2" s="33" t="n">
        <f aca="true">IF(C2&lt;&gt;"", SUM(INDEX(INDIRECT("'" &amp; B2 &amp; "'.$A$1:$Z$1000"), 0, MATCH("cost", INDIRECT("'" &amp; B2 &amp; "'.$A$1:$Z$1"), 0))), "")</f>
        <v>36.1</v>
      </c>
      <c r="F2" s="40" t="n">
        <f aca="true">IF(C2&lt;&gt;"", SUM(INDEX(INDIRECT("'" &amp; B2 &amp; "'.$A$1:$Z$1000"), 0, MATCH("total_assembly_time_min", INDIRECT("'" &amp; B2 &amp; "'.$A$1:$Z$1"), 0)))/60, "")</f>
        <v>12.0333333333333</v>
      </c>
      <c r="G2" s="33" t="n">
        <f aca="false">IF(C2&lt;&gt;"", values!$B$2, "")</f>
        <v>14.2</v>
      </c>
      <c r="H2" s="33" t="n">
        <f aca="false">IF(C2&lt;&gt;"", F2*G2, "")</f>
        <v>170.873333333333</v>
      </c>
      <c r="I2" s="33" t="n">
        <f aca="false">IF(C2&lt;&gt;"", H2+E2, "")</f>
        <v>206.973333333333</v>
      </c>
      <c r="J2" s="34" t="n">
        <v>0.22</v>
      </c>
      <c r="K2" s="33" t="n">
        <f aca="false">IF(C2&lt;&gt;"", L2-I2, "")</f>
        <v>58.377094017094</v>
      </c>
      <c r="L2" s="33" t="n">
        <f aca="false">IF(C2&lt;&gt;"", I2/(1-J2), "")</f>
        <v>265.350427350427</v>
      </c>
      <c r="M2" s="33" t="n">
        <f aca="false">IF(C2&lt;&gt;"", values!$A$2, "")</f>
        <v>0.19</v>
      </c>
      <c r="N2" s="33" t="n">
        <f aca="false">IF(C2&lt;&gt;"", O2-L2, "")</f>
        <v>62.2426928352854</v>
      </c>
      <c r="O2" s="33" t="n">
        <f aca="false">IF(C2&lt;&gt;"", L2/(1-M2), "")</f>
        <v>327.593120185713</v>
      </c>
    </row>
    <row r="3" customFormat="false" ht="12.8" hidden="false" customHeight="false" outlineLevel="0" collapsed="false">
      <c r="A3" s="1" t="s">
        <v>960</v>
      </c>
      <c r="B3" s="31" t="s">
        <v>961</v>
      </c>
      <c r="D3" s="32" t="str">
        <f aca="true">IF(C3&lt;&gt;"", SUM(INDEX(INDIRECT("'" &amp; B3 &amp; "'.$A$1:$Z$1000"), 0, MATCH("count", INDIRECT("'" &amp; B3 &amp; "'.$A$1:$Z$1"), 0))), "")</f>
        <v/>
      </c>
      <c r="E3" s="33" t="str">
        <f aca="true">IF(C3&lt;&gt;"", SUM(INDEX(INDIRECT("'" &amp; B3 &amp; "'.$A$1:$Z$1000"), 0, MATCH("cost", INDIRECT("'" &amp; B3 &amp; "'.$A$1:$Z$1"), 0))), "")</f>
        <v/>
      </c>
      <c r="F3" s="40" t="str">
        <f aca="true">IF(C3&lt;&gt;"", SUM(INDEX(INDIRECT("'" &amp; B3 &amp; "'.$A$1:$Z$1000"), 0, MATCH("total_assembly_time_min", INDIRECT("'" &amp; B3 &amp; "'.$A$1:$Z$1"), 0)))/60, "")</f>
        <v/>
      </c>
      <c r="G3" s="33" t="str">
        <f aca="false">IF(C3&lt;&gt;"", values!$B$2, "")</f>
        <v/>
      </c>
      <c r="H3" s="33" t="str">
        <f aca="false">IF(C3&lt;&gt;"", F3*G3, "")</f>
        <v/>
      </c>
      <c r="I3" s="33" t="str">
        <f aca="false">IF(C3&lt;&gt;"", H3+E3, "")</f>
        <v/>
      </c>
      <c r="K3" s="33" t="str">
        <f aca="false">IF(C3&lt;&gt;"", L3-I3, "")</f>
        <v/>
      </c>
      <c r="L3" s="33" t="str">
        <f aca="false">IF(C3&lt;&gt;"", I3/(1-J3), "")</f>
        <v/>
      </c>
      <c r="M3" s="33" t="str">
        <f aca="false">IF(C3&lt;&gt;"", values!$A$2, "")</f>
        <v/>
      </c>
      <c r="N3" s="33" t="str">
        <f aca="false">IF(C3&lt;&gt;"", O3-L3, "")</f>
        <v/>
      </c>
      <c r="O3" s="33" t="str">
        <f aca="false">IF(C3&lt;&gt;"", L3/(1-M3), "")</f>
        <v/>
      </c>
    </row>
    <row r="4" customFormat="false" ht="12.8" hidden="false" customHeight="false" outlineLevel="0" collapsed="false">
      <c r="A4" s="1" t="s">
        <v>962</v>
      </c>
      <c r="B4" s="31" t="s">
        <v>963</v>
      </c>
      <c r="D4" s="32" t="str">
        <f aca="true">IF(C4&lt;&gt;"", SUM(INDEX(INDIRECT("'" &amp; B4 &amp; "'.$A$1:$Z$1000"), 0, MATCH("count", INDIRECT("'" &amp; B4 &amp; "'.$A$1:$Z$1"), 0))), "")</f>
        <v/>
      </c>
      <c r="E4" s="33" t="str">
        <f aca="true">IF(C4&lt;&gt;"", SUM(INDEX(INDIRECT("'" &amp; B4 &amp; "'.$A$1:$Z$1000"), 0, MATCH("cost", INDIRECT("'" &amp; B4 &amp; "'.$A$1:$Z$1"), 0))), "")</f>
        <v/>
      </c>
      <c r="F4" s="40" t="str">
        <f aca="true">IF(C4&lt;&gt;"", SUM(INDEX(INDIRECT("'" &amp; B4 &amp; "'.$A$1:$Z$1000"), 0, MATCH("total_assembly_time_min", INDIRECT("'" &amp; B4 &amp; "'.$A$1:$Z$1"), 0)))/60, "")</f>
        <v/>
      </c>
      <c r="G4" s="33" t="str">
        <f aca="false">IF(C4&lt;&gt;"", values!$B$2, "")</f>
        <v/>
      </c>
      <c r="H4" s="33" t="str">
        <f aca="false">IF(C4&lt;&gt;"", F4*G4, "")</f>
        <v/>
      </c>
      <c r="I4" s="33" t="str">
        <f aca="false">IF(C4&lt;&gt;"", H4+E4, "")</f>
        <v/>
      </c>
      <c r="K4" s="33" t="str">
        <f aca="false">IF(C4&lt;&gt;"", L4-I4, "")</f>
        <v/>
      </c>
      <c r="L4" s="33" t="str">
        <f aca="false">IF(C4&lt;&gt;"", I4/(1-J4), "")</f>
        <v/>
      </c>
      <c r="M4" s="33" t="str">
        <f aca="false">IF(C4&lt;&gt;"", values!$A$2, "")</f>
        <v/>
      </c>
      <c r="N4" s="33" t="str">
        <f aca="false">IF(C4&lt;&gt;"", O4-L4, "")</f>
        <v/>
      </c>
      <c r="O4" s="33" t="str">
        <f aca="false">IF(C4&lt;&gt;"", L4/(1-M4), "")</f>
        <v/>
      </c>
    </row>
    <row r="5" customFormat="false" ht="12.8" hidden="false" customHeight="false" outlineLevel="0" collapsed="false">
      <c r="A5" s="1" t="s">
        <v>964</v>
      </c>
      <c r="B5" s="31" t="s">
        <v>965</v>
      </c>
      <c r="D5" s="32" t="str">
        <f aca="true">IF(C5&lt;&gt;"", SUM(INDEX(INDIRECT("'" &amp; B5 &amp; "'.$A$1:$Z$1000"), 0, MATCH("count", INDIRECT("'" &amp; B5 &amp; "'.$A$1:$Z$1"), 0))), "")</f>
        <v/>
      </c>
      <c r="E5" s="33" t="str">
        <f aca="true">IF(C5&lt;&gt;"", SUM(INDEX(INDIRECT("'" &amp; B5 &amp; "'.$A$1:$Z$1000"), 0, MATCH("cost", INDIRECT("'" &amp; B5 &amp; "'.$A$1:$Z$1"), 0))), "")</f>
        <v/>
      </c>
      <c r="F5" s="40" t="str">
        <f aca="true">IF(C5&lt;&gt;"", SUM(INDEX(INDIRECT("'" &amp; B5 &amp; "'.$A$1:$Z$1000"), 0, MATCH("total_assembly_time_min", INDIRECT("'" &amp; B5 &amp; "'.$A$1:$Z$1"), 0)))/60, "")</f>
        <v/>
      </c>
      <c r="G5" s="33" t="str">
        <f aca="false">IF(C5&lt;&gt;"", values!$B$2, "")</f>
        <v/>
      </c>
      <c r="H5" s="33" t="str">
        <f aca="false">IF(C5&lt;&gt;"", F5*G5, "")</f>
        <v/>
      </c>
      <c r="I5" s="33" t="str">
        <f aca="false">IF(C5&lt;&gt;"", H5+E5, "")</f>
        <v/>
      </c>
      <c r="K5" s="33" t="str">
        <f aca="false">IF(C5&lt;&gt;"", L5-I5, "")</f>
        <v/>
      </c>
      <c r="L5" s="33" t="str">
        <f aca="false">IF(C5&lt;&gt;"", I5/(1-J5), "")</f>
        <v/>
      </c>
      <c r="M5" s="33" t="str">
        <f aca="false">IF(C5&lt;&gt;"", values!$A$2, "")</f>
        <v/>
      </c>
      <c r="N5" s="33" t="str">
        <f aca="false">IF(C5&lt;&gt;"", O5-L5, "")</f>
        <v/>
      </c>
      <c r="O5" s="33" t="str">
        <f aca="false">IF(C5&lt;&gt;"", L5/(1-M5), "")</f>
        <v/>
      </c>
    </row>
    <row r="6" customFormat="false" ht="12.8" hidden="false" customHeight="false" outlineLevel="0" collapsed="false">
      <c r="A6" s="1" t="s">
        <v>966</v>
      </c>
      <c r="B6" s="31" t="s">
        <v>967</v>
      </c>
      <c r="D6" s="32" t="str">
        <f aca="true">IF(C6&lt;&gt;"", SUM(INDEX(INDIRECT("'" &amp; B6 &amp; "'.$A$1:$Z$1000"), 0, MATCH("count", INDIRECT("'" &amp; B6 &amp; "'.$A$1:$Z$1"), 0))), "")</f>
        <v/>
      </c>
      <c r="E6" s="33" t="str">
        <f aca="true">IF(C6&lt;&gt;"", SUM(INDEX(INDIRECT("'" &amp; B6 &amp; "'.$A$1:$Z$1000"), 0, MATCH("cost", INDIRECT("'" &amp; B6 &amp; "'.$A$1:$Z$1"), 0))), "")</f>
        <v/>
      </c>
      <c r="F6" s="40" t="str">
        <f aca="true">IF(C6&lt;&gt;"", SUM(INDEX(INDIRECT("'" &amp; B6 &amp; "'.$A$1:$Z$1000"), 0, MATCH("total_assembly_time_min", INDIRECT("'" &amp; B6 &amp; "'.$A$1:$Z$1"), 0)))/60, "")</f>
        <v/>
      </c>
      <c r="G6" s="33" t="str">
        <f aca="false">IF(C6&lt;&gt;"", values!$B$2, "")</f>
        <v/>
      </c>
      <c r="H6" s="33" t="str">
        <f aca="false">IF(C6&lt;&gt;"", F6*G6, "")</f>
        <v/>
      </c>
      <c r="I6" s="33" t="str">
        <f aca="false">IF(C6&lt;&gt;"", H6+E6, "")</f>
        <v/>
      </c>
      <c r="K6" s="33" t="str">
        <f aca="false">IF(C6&lt;&gt;"", L6-I6, "")</f>
        <v/>
      </c>
      <c r="L6" s="33" t="str">
        <f aca="false">IF(C6&lt;&gt;"", I6/(1-J6), "")</f>
        <v/>
      </c>
      <c r="M6" s="33" t="str">
        <f aca="false">IF(C6&lt;&gt;"", values!$A$2, "")</f>
        <v/>
      </c>
      <c r="N6" s="33" t="str">
        <f aca="false">IF(C6&lt;&gt;"", O6-L6, "")</f>
        <v/>
      </c>
      <c r="O6" s="33" t="str">
        <f aca="false">IF(C6&lt;&gt;"", L6/(1-M6), "")</f>
        <v/>
      </c>
    </row>
    <row r="7" customFormat="false" ht="12.8" hidden="false" customHeight="false" outlineLevel="0" collapsed="false">
      <c r="A7" s="1" t="s">
        <v>968</v>
      </c>
      <c r="B7" s="31" t="s">
        <v>969</v>
      </c>
      <c r="D7" s="32" t="str">
        <f aca="true">IF(C7&lt;&gt;"", SUM(INDEX(INDIRECT("'" &amp; B7 &amp; "'.$A$1:$Z$1000"), 0, MATCH("count", INDIRECT("'" &amp; B7 &amp; "'.$A$1:$Z$1"), 0))), "")</f>
        <v/>
      </c>
      <c r="E7" s="33" t="str">
        <f aca="true">IF(C7&lt;&gt;"", SUM(INDEX(INDIRECT("'" &amp; B7 &amp; "'.$A$1:$Z$1000"), 0, MATCH("cost", INDIRECT("'" &amp; B7 &amp; "'.$A$1:$Z$1"), 0))), "")</f>
        <v/>
      </c>
      <c r="F7" s="40" t="str">
        <f aca="true">IF(C7&lt;&gt;"", SUM(INDEX(INDIRECT("'" &amp; B7 &amp; "'.$A$1:$Z$1000"), 0, MATCH("total_assembly_time_min", INDIRECT("'" &amp; B7 &amp; "'.$A$1:$Z$1"), 0)))/60, "")</f>
        <v/>
      </c>
      <c r="G7" s="33" t="str">
        <f aca="false">IF(C7&lt;&gt;"", values!$B$2, "")</f>
        <v/>
      </c>
      <c r="H7" s="33" t="str">
        <f aca="false">IF(C7&lt;&gt;"", F7*G7, "")</f>
        <v/>
      </c>
      <c r="I7" s="33" t="str">
        <f aca="false">IF(C7&lt;&gt;"", H7+E7, "")</f>
        <v/>
      </c>
      <c r="K7" s="33" t="str">
        <f aca="false">IF(C7&lt;&gt;"", L7-I7, "")</f>
        <v/>
      </c>
      <c r="L7" s="33" t="str">
        <f aca="false">IF(C7&lt;&gt;"", I7/(1-J7), "")</f>
        <v/>
      </c>
      <c r="M7" s="33" t="str">
        <f aca="false">IF(C7&lt;&gt;"", values!$A$2, "")</f>
        <v/>
      </c>
      <c r="N7" s="33" t="str">
        <f aca="false">IF(C7&lt;&gt;"", O7-L7, "")</f>
        <v/>
      </c>
      <c r="O7" s="33" t="str">
        <f aca="false">IF(C7&lt;&gt;"", L7/(1-M7), "")</f>
        <v/>
      </c>
    </row>
    <row r="8" customFormat="false" ht="12.8" hidden="false" customHeight="false" outlineLevel="0" collapsed="false">
      <c r="A8" s="1" t="s">
        <v>970</v>
      </c>
      <c r="B8" s="31" t="s">
        <v>971</v>
      </c>
      <c r="D8" s="32" t="str">
        <f aca="true">IF(C8&lt;&gt;"", SUM(INDEX(INDIRECT("'" &amp; B8 &amp; "'.$A$1:$Z$1000"), 0, MATCH("count", INDIRECT("'" &amp; B8 &amp; "'.$A$1:$Z$1"), 0))), "")</f>
        <v/>
      </c>
      <c r="E8" s="33" t="str">
        <f aca="true">IF(C8&lt;&gt;"", SUM(INDEX(INDIRECT("'" &amp; B8 &amp; "'.$A$1:$Z$1000"), 0, MATCH("cost", INDIRECT("'" &amp; B8 &amp; "'.$A$1:$Z$1"), 0))), "")</f>
        <v/>
      </c>
      <c r="F8" s="40" t="str">
        <f aca="true">IF(C8&lt;&gt;"", SUM(INDEX(INDIRECT("'" &amp; B8 &amp; "'.$A$1:$Z$1000"), 0, MATCH("total_assembly_time_min", INDIRECT("'" &amp; B8 &amp; "'.$A$1:$Z$1"), 0)))/60, "")</f>
        <v/>
      </c>
      <c r="G8" s="33" t="str">
        <f aca="false">IF(C8&lt;&gt;"", values!$B$2, "")</f>
        <v/>
      </c>
      <c r="H8" s="33" t="str">
        <f aca="false">IF(C8&lt;&gt;"", F8*G8, "")</f>
        <v/>
      </c>
      <c r="I8" s="33" t="str">
        <f aca="false">IF(C8&lt;&gt;"", H8+E8, "")</f>
        <v/>
      </c>
      <c r="K8" s="33" t="str">
        <f aca="false">IF(C8&lt;&gt;"", L8-I8, "")</f>
        <v/>
      </c>
      <c r="L8" s="33" t="str">
        <f aca="false">IF(C8&lt;&gt;"", I8/(1-J8), "")</f>
        <v/>
      </c>
      <c r="M8" s="33" t="str">
        <f aca="false">IF(C8&lt;&gt;"", values!$A$2, "")</f>
        <v/>
      </c>
      <c r="N8" s="33" t="str">
        <f aca="false">IF(C8&lt;&gt;"", O8-L8, "")</f>
        <v/>
      </c>
      <c r="O8" s="33" t="str">
        <f aca="false">IF(C8&lt;&gt;"", L8/(1-M8), "")</f>
        <v/>
      </c>
    </row>
    <row r="9" customFormat="false" ht="12.8" hidden="false" customHeight="false" outlineLevel="0" collapsed="false">
      <c r="A9" s="1" t="s">
        <v>972</v>
      </c>
      <c r="B9" s="31" t="s">
        <v>973</v>
      </c>
      <c r="D9" s="32" t="str">
        <f aca="true">IF(C9&lt;&gt;"", SUM(INDEX(INDIRECT("'" &amp; B9 &amp; "'.$A$1:$Z$1000"), 0, MATCH("count", INDIRECT("'" &amp; B9 &amp; "'.$A$1:$Z$1"), 0))), "")</f>
        <v/>
      </c>
      <c r="E9" s="33" t="str">
        <f aca="true">IF(C9&lt;&gt;"", SUM(INDEX(INDIRECT("'" &amp; B9 &amp; "'.$A$1:$Z$1000"), 0, MATCH("cost", INDIRECT("'" &amp; B9 &amp; "'.$A$1:$Z$1"), 0))), "")</f>
        <v/>
      </c>
      <c r="F9" s="40" t="str">
        <f aca="true">IF(C9&lt;&gt;"", SUM(INDEX(INDIRECT("'" &amp; B9 &amp; "'.$A$1:$Z$1000"), 0, MATCH("total_assembly_time_min", INDIRECT("'" &amp; B9 &amp; "'.$A$1:$Z$1"), 0)))/60, "")</f>
        <v/>
      </c>
      <c r="G9" s="33" t="str">
        <f aca="false">IF(C9&lt;&gt;"", values!$B$2, "")</f>
        <v/>
      </c>
      <c r="H9" s="33" t="str">
        <f aca="false">IF(C9&lt;&gt;"", F9*G9, "")</f>
        <v/>
      </c>
      <c r="I9" s="33" t="str">
        <f aca="false">IF(C9&lt;&gt;"", H9+E9, "")</f>
        <v/>
      </c>
      <c r="K9" s="33" t="str">
        <f aca="false">IF(C9&lt;&gt;"", L9-I9, "")</f>
        <v/>
      </c>
      <c r="L9" s="33" t="str">
        <f aca="false">IF(C9&lt;&gt;"", I9/(1-J9), "")</f>
        <v/>
      </c>
      <c r="M9" s="33" t="str">
        <f aca="false">IF(C9&lt;&gt;"", values!$A$2, "")</f>
        <v/>
      </c>
      <c r="N9" s="33" t="str">
        <f aca="false">IF(C9&lt;&gt;"", O9-L9, "")</f>
        <v/>
      </c>
      <c r="O9" s="33" t="str">
        <f aca="false">IF(C9&lt;&gt;"", L9/(1-M9), "")</f>
        <v/>
      </c>
    </row>
    <row r="10" customFormat="false" ht="12.8" hidden="false" customHeight="false" outlineLevel="0" collapsed="false">
      <c r="A10" s="1" t="s">
        <v>974</v>
      </c>
      <c r="B10" s="31" t="s">
        <v>975</v>
      </c>
      <c r="D10" s="32" t="str">
        <f aca="true">IF(C10&lt;&gt;"", SUM(INDEX(INDIRECT("'" &amp; B10 &amp; "'.$A$1:$Z$1000"), 0, MATCH("count", INDIRECT("'" &amp; B10 &amp; "'.$A$1:$Z$1"), 0))), "")</f>
        <v/>
      </c>
      <c r="E10" s="33" t="str">
        <f aca="true">IF(C10&lt;&gt;"", SUM(INDEX(INDIRECT("'" &amp; B10 &amp; "'.$A$1:$Z$1000"), 0, MATCH("cost", INDIRECT("'" &amp; B10 &amp; "'.$A$1:$Z$1"), 0))), "")</f>
        <v/>
      </c>
      <c r="F10" s="40" t="str">
        <f aca="true">IF(C10&lt;&gt;"", SUM(INDEX(INDIRECT("'" &amp; B10 &amp; "'.$A$1:$Z$1000"), 0, MATCH("total_assembly_time_min", INDIRECT("'" &amp; B10 &amp; "'.$A$1:$Z$1"), 0)))/60, "")</f>
        <v/>
      </c>
      <c r="G10" s="33" t="str">
        <f aca="false">IF(C10&lt;&gt;"", values!$B$2, "")</f>
        <v/>
      </c>
      <c r="H10" s="33" t="str">
        <f aca="false">IF(C10&lt;&gt;"", F10*G10, "")</f>
        <v/>
      </c>
      <c r="I10" s="33" t="str">
        <f aca="false">IF(C10&lt;&gt;"", H10+E10, "")</f>
        <v/>
      </c>
      <c r="K10" s="33" t="str">
        <f aca="false">IF(C10&lt;&gt;"", L10-I10, "")</f>
        <v/>
      </c>
      <c r="L10" s="33" t="str">
        <f aca="false">IF(C10&lt;&gt;"", I10/(1-J10), "")</f>
        <v/>
      </c>
      <c r="M10" s="33" t="str">
        <f aca="false">IF(C10&lt;&gt;"", values!$A$2, "")</f>
        <v/>
      </c>
      <c r="N10" s="33" t="str">
        <f aca="false">IF(C10&lt;&gt;"", O10-L10, "")</f>
        <v/>
      </c>
      <c r="O10" s="33" t="str">
        <f aca="false">IF(C10&lt;&gt;"", L10/(1-M10), "")</f>
        <v/>
      </c>
    </row>
    <row r="11" customFormat="false" ht="12.8" hidden="false" customHeight="false" outlineLevel="0" collapsed="false">
      <c r="A11" s="1" t="s">
        <v>976</v>
      </c>
      <c r="B11" s="31" t="s">
        <v>977</v>
      </c>
      <c r="D11" s="32" t="str">
        <f aca="true">IF(C11&lt;&gt;"", SUM(INDEX(INDIRECT("'" &amp; B11 &amp; "'.$A$1:$Z$1000"), 0, MATCH("count", INDIRECT("'" &amp; B11 &amp; "'.$A$1:$Z$1"), 0))), "")</f>
        <v/>
      </c>
      <c r="E11" s="33" t="str">
        <f aca="true">IF(C11&lt;&gt;"", SUM(INDEX(INDIRECT("'" &amp; B11 &amp; "'.$A$1:$Z$1000"), 0, MATCH("cost", INDIRECT("'" &amp; B11 &amp; "'.$A$1:$Z$1"), 0))), "")</f>
        <v/>
      </c>
      <c r="F11" s="40" t="str">
        <f aca="true">IF(C11&lt;&gt;"", SUM(INDEX(INDIRECT("'" &amp; B11 &amp; "'.$A$1:$Z$1000"), 0, MATCH("total_assembly_time_min", INDIRECT("'" &amp; B11 &amp; "'.$A$1:$Z$1"), 0)))/60, "")</f>
        <v/>
      </c>
      <c r="G11" s="33" t="str">
        <f aca="false">IF(C11&lt;&gt;"", values!$B$2, "")</f>
        <v/>
      </c>
      <c r="H11" s="33" t="str">
        <f aca="false">IF(C11&lt;&gt;"", F11*G11, "")</f>
        <v/>
      </c>
      <c r="I11" s="33" t="str">
        <f aca="false">IF(C11&lt;&gt;"", H11+E11, "")</f>
        <v/>
      </c>
      <c r="K11" s="33" t="str">
        <f aca="false">IF(C11&lt;&gt;"", L11-I11, "")</f>
        <v/>
      </c>
      <c r="L11" s="33" t="str">
        <f aca="false">IF(C11&lt;&gt;"", I11/(1-J11), "")</f>
        <v/>
      </c>
      <c r="M11" s="33" t="str">
        <f aca="false">IF(C11&lt;&gt;"", values!$A$2, "")</f>
        <v/>
      </c>
      <c r="N11" s="33" t="str">
        <f aca="false">IF(C11&lt;&gt;"", O11-L11, "")</f>
        <v/>
      </c>
      <c r="O11" s="33" t="str">
        <f aca="false">IF(C11&lt;&gt;"", L11/(1-M11), "")</f>
        <v/>
      </c>
    </row>
    <row r="12" customFormat="false" ht="12.8" hidden="false" customHeight="false" outlineLevel="0" collapsed="false">
      <c r="A12" s="1" t="s">
        <v>978</v>
      </c>
      <c r="B12" s="31" t="s">
        <v>979</v>
      </c>
      <c r="D12" s="32" t="str">
        <f aca="true">IF(C12&lt;&gt;"", SUM(INDEX(INDIRECT("'" &amp; B12 &amp; "'.$A$1:$Z$1000"), 0, MATCH("count", INDIRECT("'" &amp; B12 &amp; "'.$A$1:$Z$1"), 0))), "")</f>
        <v/>
      </c>
      <c r="E12" s="33" t="str">
        <f aca="true">IF(C12&lt;&gt;"", SUM(INDEX(INDIRECT("'" &amp; B12 &amp; "'.$A$1:$Z$1000"), 0, MATCH("cost", INDIRECT("'" &amp; B12 &amp; "'.$A$1:$Z$1"), 0))), "")</f>
        <v/>
      </c>
      <c r="F12" s="40" t="str">
        <f aca="true">IF(C12&lt;&gt;"", SUM(INDEX(INDIRECT("'" &amp; B12 &amp; "'.$A$1:$Z$1000"), 0, MATCH("total_assembly_time_min", INDIRECT("'" &amp; B12 &amp; "'.$A$1:$Z$1"), 0)))/60, "")</f>
        <v/>
      </c>
      <c r="G12" s="33" t="str">
        <f aca="false">IF(C12&lt;&gt;"", values!$B$2, "")</f>
        <v/>
      </c>
      <c r="H12" s="33" t="str">
        <f aca="false">IF(C12&lt;&gt;"", F12*G12, "")</f>
        <v/>
      </c>
      <c r="I12" s="33" t="str">
        <f aca="false">IF(C12&lt;&gt;"", H12+E12, "")</f>
        <v/>
      </c>
      <c r="K12" s="33" t="str">
        <f aca="false">IF(C12&lt;&gt;"", L12-I12, "")</f>
        <v/>
      </c>
      <c r="L12" s="33" t="str">
        <f aca="false">IF(C12&lt;&gt;"", I12/(1-J12), "")</f>
        <v/>
      </c>
      <c r="M12" s="33" t="str">
        <f aca="false">IF(C12&lt;&gt;"", values!$A$2, "")</f>
        <v/>
      </c>
      <c r="N12" s="33" t="str">
        <f aca="false">IF(C12&lt;&gt;"", O12-L12, "")</f>
        <v/>
      </c>
      <c r="O12" s="33" t="str">
        <f aca="false">IF(C12&lt;&gt;"", L12/(1-M12), "")</f>
        <v/>
      </c>
    </row>
    <row r="13" customFormat="false" ht="12.8" hidden="false" customHeight="false" outlineLevel="0" collapsed="false">
      <c r="A13" s="1" t="s">
        <v>980</v>
      </c>
      <c r="B13" s="31" t="s">
        <v>981</v>
      </c>
      <c r="D13" s="32" t="str">
        <f aca="true">IF(C13&lt;&gt;"", SUM(INDEX(INDIRECT("'" &amp; B13 &amp; "'.$A$1:$Z$1000"), 0, MATCH("count", INDIRECT("'" &amp; B13 &amp; "'.$A$1:$Z$1"), 0))), "")</f>
        <v/>
      </c>
      <c r="E13" s="33" t="str">
        <f aca="true">IF(C13&lt;&gt;"", SUM(INDEX(INDIRECT("'" &amp; B13 &amp; "'.$A$1:$Z$1000"), 0, MATCH("cost", INDIRECT("'" &amp; B13 &amp; "'.$A$1:$Z$1"), 0))), "")</f>
        <v/>
      </c>
      <c r="F13" s="40" t="str">
        <f aca="true">IF(C13&lt;&gt;"", SUM(INDEX(INDIRECT("'" &amp; B13 &amp; "'.$A$1:$Z$1000"), 0, MATCH("total_assembly_time_min", INDIRECT("'" &amp; B13 &amp; "'.$A$1:$Z$1"), 0)))/60, "")</f>
        <v/>
      </c>
      <c r="G13" s="33" t="str">
        <f aca="false">IF(C13&lt;&gt;"", values!$B$2, "")</f>
        <v/>
      </c>
      <c r="H13" s="33" t="str">
        <f aca="false">IF(C13&lt;&gt;"", F13*G13, "")</f>
        <v/>
      </c>
      <c r="I13" s="33" t="str">
        <f aca="false">IF(C13&lt;&gt;"", H13+E13, "")</f>
        <v/>
      </c>
      <c r="K13" s="33" t="str">
        <f aca="false">IF(C13&lt;&gt;"", L13-I13, "")</f>
        <v/>
      </c>
      <c r="L13" s="33" t="str">
        <f aca="false">IF(C13&lt;&gt;"", I13/(1-J13), "")</f>
        <v/>
      </c>
      <c r="M13" s="33" t="str">
        <f aca="false">IF(C13&lt;&gt;"", values!$A$2, "")</f>
        <v/>
      </c>
      <c r="N13" s="33" t="str">
        <f aca="false">IF(C13&lt;&gt;"", O13-L13, "")</f>
        <v/>
      </c>
      <c r="O13" s="33" t="str">
        <f aca="false">IF(C13&lt;&gt;"", L13/(1-M13), "")</f>
        <v/>
      </c>
    </row>
    <row r="14" customFormat="false" ht="12.8" hidden="false" customHeight="false" outlineLevel="0" collapsed="false">
      <c r="A14" s="1" t="s">
        <v>982</v>
      </c>
      <c r="B14" s="31" t="s">
        <v>983</v>
      </c>
      <c r="D14" s="32" t="str">
        <f aca="true">IF(C14&lt;&gt;"", SUM(INDEX(INDIRECT("'" &amp; B14 &amp; "'.$A$1:$Z$1000"), 0, MATCH("count", INDIRECT("'" &amp; B14 &amp; "'.$A$1:$Z$1"), 0))), "")</f>
        <v/>
      </c>
      <c r="E14" s="33" t="str">
        <f aca="true">IF(C14&lt;&gt;"", SUM(INDEX(INDIRECT("'" &amp; B14 &amp; "'.$A$1:$Z$1000"), 0, MATCH("cost", INDIRECT("'" &amp; B14 &amp; "'.$A$1:$Z$1"), 0))), "")</f>
        <v/>
      </c>
      <c r="F14" s="40" t="str">
        <f aca="true">IF(C14&lt;&gt;"", SUM(INDEX(INDIRECT("'" &amp; B14 &amp; "'.$A$1:$Z$1000"), 0, MATCH("total_assembly_time_min", INDIRECT("'" &amp; B14 &amp; "'.$A$1:$Z$1"), 0)))/60, "")</f>
        <v/>
      </c>
      <c r="G14" s="33" t="str">
        <f aca="false">IF(C14&lt;&gt;"", values!$B$2, "")</f>
        <v/>
      </c>
      <c r="H14" s="33" t="str">
        <f aca="false">IF(C14&lt;&gt;"", F14*G14, "")</f>
        <v/>
      </c>
      <c r="I14" s="33" t="str">
        <f aca="false">IF(C14&lt;&gt;"", H14+E14, "")</f>
        <v/>
      </c>
      <c r="K14" s="33" t="str">
        <f aca="false">IF(C14&lt;&gt;"", L14-I14, "")</f>
        <v/>
      </c>
      <c r="L14" s="33" t="str">
        <f aca="false">IF(C14&lt;&gt;"", I14/(1-J14), "")</f>
        <v/>
      </c>
      <c r="M14" s="33" t="str">
        <f aca="false">IF(C14&lt;&gt;"", values!$A$2, "")</f>
        <v/>
      </c>
      <c r="N14" s="33" t="str">
        <f aca="false">IF(C14&lt;&gt;"", O14-L14, "")</f>
        <v/>
      </c>
      <c r="O14" s="33" t="str">
        <f aca="false">IF(C14&lt;&gt;"", L14/(1-M14), "")</f>
        <v/>
      </c>
    </row>
    <row r="15" customFormat="false" ht="12.8" hidden="false" customHeight="false" outlineLevel="0" collapsed="false">
      <c r="A15" s="1" t="s">
        <v>984</v>
      </c>
      <c r="B15" s="31" t="s">
        <v>985</v>
      </c>
      <c r="D15" s="32" t="str">
        <f aca="true">IF(C15&lt;&gt;"", SUM(INDEX(INDIRECT("'" &amp; B15 &amp; "'.$A$1:$Z$1000"), 0, MATCH("count", INDIRECT("'" &amp; B15 &amp; "'.$A$1:$Z$1"), 0))), "")</f>
        <v/>
      </c>
      <c r="E15" s="33" t="str">
        <f aca="true">IF(C15&lt;&gt;"", SUM(INDEX(INDIRECT("'" &amp; B15 &amp; "'.$A$1:$Z$1000"), 0, MATCH("cost", INDIRECT("'" &amp; B15 &amp; "'.$A$1:$Z$1"), 0))), "")</f>
        <v/>
      </c>
      <c r="F15" s="40" t="str">
        <f aca="true">IF(C15&lt;&gt;"", SUM(INDEX(INDIRECT("'" &amp; B15 &amp; "'.$A$1:$Z$1000"), 0, MATCH("total_assembly_time_min", INDIRECT("'" &amp; B15 &amp; "'.$A$1:$Z$1"), 0)))/60, "")</f>
        <v/>
      </c>
      <c r="G15" s="33" t="str">
        <f aca="false">IF(C15&lt;&gt;"", values!$B$2, "")</f>
        <v/>
      </c>
      <c r="H15" s="33" t="str">
        <f aca="false">IF(C15&lt;&gt;"", F15*G15, "")</f>
        <v/>
      </c>
      <c r="I15" s="33" t="str">
        <f aca="false">IF(C15&lt;&gt;"", H15+E15, "")</f>
        <v/>
      </c>
      <c r="K15" s="33" t="str">
        <f aca="false">IF(C15&lt;&gt;"", L15-I15, "")</f>
        <v/>
      </c>
      <c r="L15" s="33" t="str">
        <f aca="false">IF(C15&lt;&gt;"", I15/(1-J15), "")</f>
        <v/>
      </c>
      <c r="M15" s="33" t="str">
        <f aca="false">IF(C15&lt;&gt;"", values!$A$2, "")</f>
        <v/>
      </c>
      <c r="N15" s="33" t="str">
        <f aca="false">IF(C15&lt;&gt;"", O15-L15, "")</f>
        <v/>
      </c>
      <c r="O15" s="33" t="str">
        <f aca="false">IF(C15&lt;&gt;"", L15/(1-M15), "")</f>
        <v/>
      </c>
    </row>
    <row r="16" customFormat="false" ht="12.8" hidden="false" customHeight="false" outlineLevel="0" collapsed="false">
      <c r="A16" s="1" t="s">
        <v>986</v>
      </c>
      <c r="B16" s="31" t="s">
        <v>987</v>
      </c>
      <c r="D16" s="32" t="str">
        <f aca="true">IF(C16&lt;&gt;"", SUM(INDEX(INDIRECT("'" &amp; B16 &amp; "'.$A$1:$Z$1000"), 0, MATCH("count", INDIRECT("'" &amp; B16 &amp; "'.$A$1:$Z$1"), 0))), "")</f>
        <v/>
      </c>
      <c r="E16" s="33" t="str">
        <f aca="true">IF(C16&lt;&gt;"", SUM(INDEX(INDIRECT("'" &amp; B16 &amp; "'.$A$1:$Z$1000"), 0, MATCH("cost", INDIRECT("'" &amp; B16 &amp; "'.$A$1:$Z$1"), 0))), "")</f>
        <v/>
      </c>
      <c r="F16" s="40" t="str">
        <f aca="true">IF(C16&lt;&gt;"", SUM(INDEX(INDIRECT("'" &amp; B16 &amp; "'.$A$1:$Z$1000"), 0, MATCH("total_assembly_time_min", INDIRECT("'" &amp; B16 &amp; "'.$A$1:$Z$1"), 0)))/60, "")</f>
        <v/>
      </c>
      <c r="G16" s="33" t="str">
        <f aca="false">IF(C16&lt;&gt;"", values!$B$2, "")</f>
        <v/>
      </c>
      <c r="H16" s="33" t="str">
        <f aca="false">IF(C16&lt;&gt;"", F16*G16, "")</f>
        <v/>
      </c>
      <c r="I16" s="33" t="str">
        <f aca="false">IF(C16&lt;&gt;"", H16+E16, "")</f>
        <v/>
      </c>
      <c r="K16" s="33" t="str">
        <f aca="false">IF(C16&lt;&gt;"", L16-I16, "")</f>
        <v/>
      </c>
      <c r="L16" s="33" t="str">
        <f aca="false">IF(C16&lt;&gt;"", I16/(1-J16), "")</f>
        <v/>
      </c>
      <c r="M16" s="33" t="str">
        <f aca="false">IF(C16&lt;&gt;"", values!$A$2, "")</f>
        <v/>
      </c>
      <c r="N16" s="33" t="str">
        <f aca="false">IF(C16&lt;&gt;"", O16-L16, "")</f>
        <v/>
      </c>
      <c r="O16" s="33" t="str">
        <f aca="false">IF(C16&lt;&gt;"", L16/(1-M16), "")</f>
        <v/>
      </c>
    </row>
    <row r="17" customFormat="false" ht="12.8" hidden="false" customHeight="false" outlineLevel="0" collapsed="false">
      <c r="A17" s="1" t="s">
        <v>988</v>
      </c>
      <c r="B17" s="31" t="s">
        <v>989</v>
      </c>
      <c r="D17" s="32" t="str">
        <f aca="true">IF(C17&lt;&gt;"", SUM(INDEX(INDIRECT("'" &amp; B17 &amp; "'.$A$1:$Z$1000"), 0, MATCH("count", INDIRECT("'" &amp; B17 &amp; "'.$A$1:$Z$1"), 0))), "")</f>
        <v/>
      </c>
      <c r="E17" s="33" t="str">
        <f aca="true">IF(C17&lt;&gt;"", SUM(INDEX(INDIRECT("'" &amp; B17 &amp; "'.$A$1:$Z$1000"), 0, MATCH("cost", INDIRECT("'" &amp; B17 &amp; "'.$A$1:$Z$1"), 0))), "")</f>
        <v/>
      </c>
      <c r="F17" s="40" t="str">
        <f aca="true">IF(C17&lt;&gt;"", SUM(INDEX(INDIRECT("'" &amp; B17 &amp; "'.$A$1:$Z$1000"), 0, MATCH("total_assembly_time_min", INDIRECT("'" &amp; B17 &amp; "'.$A$1:$Z$1"), 0)))/60, "")</f>
        <v/>
      </c>
      <c r="G17" s="33" t="str">
        <f aca="false">IF(C17&lt;&gt;"", values!$B$2, "")</f>
        <v/>
      </c>
      <c r="H17" s="33" t="str">
        <f aca="false">IF(C17&lt;&gt;"", F17*G17, "")</f>
        <v/>
      </c>
      <c r="I17" s="33" t="str">
        <f aca="false">IF(C17&lt;&gt;"", H17+E17, "")</f>
        <v/>
      </c>
      <c r="K17" s="33" t="str">
        <f aca="false">IF(C17&lt;&gt;"", L17-I17, "")</f>
        <v/>
      </c>
      <c r="L17" s="33" t="str">
        <f aca="false">IF(C17&lt;&gt;"", I17/(1-J17), "")</f>
        <v/>
      </c>
      <c r="M17" s="33" t="str">
        <f aca="false">IF(C17&lt;&gt;"", values!$A$2, "")</f>
        <v/>
      </c>
      <c r="N17" s="33" t="str">
        <f aca="false">IF(C17&lt;&gt;"", O17-L17, "")</f>
        <v/>
      </c>
      <c r="O17" s="33" t="str">
        <f aca="false">IF(C17&lt;&gt;"", L17/(1-M17), "")</f>
        <v/>
      </c>
    </row>
    <row r="18" customFormat="false" ht="12.8" hidden="false" customHeight="false" outlineLevel="0" collapsed="false">
      <c r="A18" s="1" t="s">
        <v>990</v>
      </c>
      <c r="B18" s="31" t="s">
        <v>991</v>
      </c>
      <c r="D18" s="32" t="str">
        <f aca="true">IF(C18&lt;&gt;"", SUM(INDEX(INDIRECT("'" &amp; B18 &amp; "'.$A$1:$Z$1000"), 0, MATCH("count", INDIRECT("'" &amp; B18 &amp; "'.$A$1:$Z$1"), 0))), "")</f>
        <v/>
      </c>
      <c r="E18" s="33" t="str">
        <f aca="true">IF(C18&lt;&gt;"", SUM(INDEX(INDIRECT("'" &amp; B18 &amp; "'.$A$1:$Z$1000"), 0, MATCH("cost", INDIRECT("'" &amp; B18 &amp; "'.$A$1:$Z$1"), 0))), "")</f>
        <v/>
      </c>
      <c r="F18" s="40" t="str">
        <f aca="true">IF(C18&lt;&gt;"", SUM(INDEX(INDIRECT("'" &amp; B18 &amp; "'.$A$1:$Z$1000"), 0, MATCH("total_assembly_time_min", INDIRECT("'" &amp; B18 &amp; "'.$A$1:$Z$1"), 0)))/60, "")</f>
        <v/>
      </c>
      <c r="G18" s="33" t="str">
        <f aca="false">IF(C18&lt;&gt;"", values!$B$2, "")</f>
        <v/>
      </c>
      <c r="H18" s="33" t="str">
        <f aca="false">IF(C18&lt;&gt;"", F18*G18, "")</f>
        <v/>
      </c>
      <c r="I18" s="33" t="str">
        <f aca="false">IF(C18&lt;&gt;"", H18+E18, "")</f>
        <v/>
      </c>
      <c r="K18" s="33" t="str">
        <f aca="false">IF(C18&lt;&gt;"", L18-I18, "")</f>
        <v/>
      </c>
      <c r="L18" s="33" t="str">
        <f aca="false">IF(C18&lt;&gt;"", I18/(1-J18), "")</f>
        <v/>
      </c>
      <c r="M18" s="33" t="str">
        <f aca="false">IF(C18&lt;&gt;"", values!$A$2, "")</f>
        <v/>
      </c>
      <c r="N18" s="33" t="str">
        <f aca="false">IF(C18&lt;&gt;"", O18-L18, "")</f>
        <v/>
      </c>
      <c r="O18" s="33" t="str">
        <f aca="false">IF(C18&lt;&gt;"", L18/(1-M18), "")</f>
        <v/>
      </c>
    </row>
    <row r="19" customFormat="false" ht="12.8" hidden="false" customHeight="false" outlineLevel="0" collapsed="false">
      <c r="A19" s="1" t="s">
        <v>992</v>
      </c>
      <c r="B19" s="31" t="s">
        <v>993</v>
      </c>
      <c r="D19" s="32" t="str">
        <f aca="true">IF(C19&lt;&gt;"", SUM(INDEX(INDIRECT("'" &amp; B19 &amp; "'.$A$1:$Z$1000"), 0, MATCH("count", INDIRECT("'" &amp; B19 &amp; "'.$A$1:$Z$1"), 0))), "")</f>
        <v/>
      </c>
      <c r="E19" s="33" t="str">
        <f aca="true">IF(C19&lt;&gt;"", SUM(INDEX(INDIRECT("'" &amp; B19 &amp; "'.$A$1:$Z$1000"), 0, MATCH("cost", INDIRECT("'" &amp; B19 &amp; "'.$A$1:$Z$1"), 0))), "")</f>
        <v/>
      </c>
      <c r="F19" s="40" t="str">
        <f aca="true">IF(C19&lt;&gt;"", SUM(INDEX(INDIRECT("'" &amp; B19 &amp; "'.$A$1:$Z$1000"), 0, MATCH("total_assembly_time_min", INDIRECT("'" &amp; B19 &amp; "'.$A$1:$Z$1"), 0)))/60, "")</f>
        <v/>
      </c>
      <c r="G19" s="33" t="str">
        <f aca="false">IF(C19&lt;&gt;"", values!$B$2, "")</f>
        <v/>
      </c>
      <c r="H19" s="33" t="str">
        <f aca="false">IF(C19&lt;&gt;"", F19*G19, "")</f>
        <v/>
      </c>
      <c r="I19" s="33" t="str">
        <f aca="false">IF(C19&lt;&gt;"", H19+E19, "")</f>
        <v/>
      </c>
      <c r="K19" s="33" t="str">
        <f aca="false">IF(C19&lt;&gt;"", L19-I19, "")</f>
        <v/>
      </c>
      <c r="L19" s="33" t="str">
        <f aca="false">IF(C19&lt;&gt;"", I19/(1-J19), "")</f>
        <v/>
      </c>
      <c r="M19" s="33" t="str">
        <f aca="false">IF(C19&lt;&gt;"", values!$A$2, "")</f>
        <v/>
      </c>
      <c r="N19" s="33" t="str">
        <f aca="false">IF(C19&lt;&gt;"", O19-L19, "")</f>
        <v/>
      </c>
      <c r="O19" s="33" t="str">
        <f aca="false">IF(C19&lt;&gt;"", L19/(1-M19), "")</f>
        <v/>
      </c>
    </row>
    <row r="20" customFormat="false" ht="12.8" hidden="false" customHeight="false" outlineLevel="0" collapsed="false">
      <c r="A20" s="1" t="s">
        <v>994</v>
      </c>
      <c r="B20" s="31" t="s">
        <v>995</v>
      </c>
      <c r="D20" s="32" t="str">
        <f aca="true">IF(C20&lt;&gt;"", SUM(INDEX(INDIRECT("'" &amp; B20 &amp; "'.$A$1:$Z$1000"), 0, MATCH("count", INDIRECT("'" &amp; B20 &amp; "'.$A$1:$Z$1"), 0))), "")</f>
        <v/>
      </c>
      <c r="E20" s="33" t="str">
        <f aca="true">IF(C20&lt;&gt;"", SUM(INDEX(INDIRECT("'" &amp; B20 &amp; "'.$A$1:$Z$1000"), 0, MATCH("cost", INDIRECT("'" &amp; B20 &amp; "'.$A$1:$Z$1"), 0))), "")</f>
        <v/>
      </c>
      <c r="F20" s="40" t="str">
        <f aca="true">IF(C20&lt;&gt;"", SUM(INDEX(INDIRECT("'" &amp; B20 &amp; "'.$A$1:$Z$1000"), 0, MATCH("total_assembly_time_min", INDIRECT("'" &amp; B20 &amp; "'.$A$1:$Z$1"), 0)))/60, "")</f>
        <v/>
      </c>
      <c r="G20" s="33" t="str">
        <f aca="false">IF(C20&lt;&gt;"", values!$B$2, "")</f>
        <v/>
      </c>
      <c r="H20" s="33" t="str">
        <f aca="false">IF(C20&lt;&gt;"", F20*G20, "")</f>
        <v/>
      </c>
      <c r="I20" s="33" t="str">
        <f aca="false">IF(C20&lt;&gt;"", H20+E20, "")</f>
        <v/>
      </c>
      <c r="K20" s="33" t="str">
        <f aca="false">IF(C20&lt;&gt;"", L20-I20, "")</f>
        <v/>
      </c>
      <c r="L20" s="33" t="str">
        <f aca="false">IF(C20&lt;&gt;"", I20/(1-J20), "")</f>
        <v/>
      </c>
      <c r="M20" s="33" t="str">
        <f aca="false">IF(C20&lt;&gt;"", values!$A$2, "")</f>
        <v/>
      </c>
      <c r="N20" s="33" t="str">
        <f aca="false">IF(C20&lt;&gt;"", O20-L20, "")</f>
        <v/>
      </c>
      <c r="O20" s="33" t="str">
        <f aca="false">IF(C20&lt;&gt;"", L20/(1-M20), "")</f>
        <v/>
      </c>
    </row>
    <row r="21" customFormat="false" ht="12.8" hidden="false" customHeight="false" outlineLevel="0" collapsed="false">
      <c r="A21" s="1" t="s">
        <v>996</v>
      </c>
      <c r="B21" s="31" t="s">
        <v>997</v>
      </c>
      <c r="D21" s="32" t="str">
        <f aca="true">IF(C21&lt;&gt;"", SUM(INDEX(INDIRECT("'" &amp; B21 &amp; "'.$A$1:$Z$1000"), 0, MATCH("count", INDIRECT("'" &amp; B21 &amp; "'.$A$1:$Z$1"), 0))), "")</f>
        <v/>
      </c>
      <c r="E21" s="33" t="str">
        <f aca="true">IF(C21&lt;&gt;"", SUM(INDEX(INDIRECT("'" &amp; B21 &amp; "'.$A$1:$Z$1000"), 0, MATCH("cost", INDIRECT("'" &amp; B21 &amp; "'.$A$1:$Z$1"), 0))), "")</f>
        <v/>
      </c>
      <c r="F21" s="40" t="str">
        <f aca="true">IF(C21&lt;&gt;"", SUM(INDEX(INDIRECT("'" &amp; B21 &amp; "'.$A$1:$Z$1000"), 0, MATCH("total_assembly_time_min", INDIRECT("'" &amp; B21 &amp; "'.$A$1:$Z$1"), 0)))/60, "")</f>
        <v/>
      </c>
      <c r="G21" s="33" t="str">
        <f aca="false">IF(C21&lt;&gt;"", values!$B$2, "")</f>
        <v/>
      </c>
      <c r="H21" s="33" t="str">
        <f aca="false">IF(C21&lt;&gt;"", F21*G21, "")</f>
        <v/>
      </c>
      <c r="I21" s="33" t="str">
        <f aca="false">IF(C21&lt;&gt;"", H21+E21, "")</f>
        <v/>
      </c>
      <c r="K21" s="33" t="str">
        <f aca="false">IF(C21&lt;&gt;"", L21-I21, "")</f>
        <v/>
      </c>
      <c r="L21" s="33" t="str">
        <f aca="false">IF(C21&lt;&gt;"", I21/(1-J21), "")</f>
        <v/>
      </c>
      <c r="M21" s="33" t="str">
        <f aca="false">IF(C21&lt;&gt;"", values!$A$2, "")</f>
        <v/>
      </c>
      <c r="N21" s="33" t="str">
        <f aca="false">IF(C21&lt;&gt;"", O21-L21, "")</f>
        <v/>
      </c>
      <c r="O21" s="33" t="str">
        <f aca="false">IF(C21&lt;&gt;"", L21/(1-M21), "")</f>
        <v/>
      </c>
    </row>
    <row r="22" customFormat="false" ht="12.8" hidden="false" customHeight="false" outlineLevel="0" collapsed="false">
      <c r="A22" s="1" t="s">
        <v>998</v>
      </c>
      <c r="B22" s="31" t="s">
        <v>999</v>
      </c>
      <c r="D22" s="32" t="str">
        <f aca="true">IF(C22&lt;&gt;"", SUM(INDEX(INDIRECT("'" &amp; B22 &amp; "'.$A$1:$Z$1000"), 0, MATCH("count", INDIRECT("'" &amp; B22 &amp; "'.$A$1:$Z$1"), 0))), "")</f>
        <v/>
      </c>
      <c r="E22" s="33" t="str">
        <f aca="true">IF(C22&lt;&gt;"", SUM(INDEX(INDIRECT("'" &amp; B22 &amp; "'.$A$1:$Z$1000"), 0, MATCH("cost", INDIRECT("'" &amp; B22 &amp; "'.$A$1:$Z$1"), 0))), "")</f>
        <v/>
      </c>
      <c r="F22" s="40" t="str">
        <f aca="true">IF(C22&lt;&gt;"", SUM(INDEX(INDIRECT("'" &amp; B22 &amp; "'.$A$1:$Z$1000"), 0, MATCH("total_assembly_time_min", INDIRECT("'" &amp; B22 &amp; "'.$A$1:$Z$1"), 0)))/60, "")</f>
        <v/>
      </c>
      <c r="G22" s="33" t="str">
        <f aca="false">IF(C22&lt;&gt;"", values!$B$2, "")</f>
        <v/>
      </c>
      <c r="H22" s="33" t="str">
        <f aca="false">IF(C22&lt;&gt;"", F22*G22, "")</f>
        <v/>
      </c>
      <c r="I22" s="33" t="str">
        <f aca="false">IF(C22&lt;&gt;"", H22+E22, "")</f>
        <v/>
      </c>
      <c r="K22" s="33" t="str">
        <f aca="false">IF(C22&lt;&gt;"", L22-I22, "")</f>
        <v/>
      </c>
      <c r="L22" s="33" t="str">
        <f aca="false">IF(C22&lt;&gt;"", I22/(1-J22), "")</f>
        <v/>
      </c>
      <c r="M22" s="33" t="str">
        <f aca="false">IF(C22&lt;&gt;"", values!$A$2, "")</f>
        <v/>
      </c>
      <c r="N22" s="33" t="str">
        <f aca="false">IF(C22&lt;&gt;"", O22-L22, "")</f>
        <v/>
      </c>
      <c r="O22" s="33" t="str">
        <f aca="false">IF(C22&lt;&gt;"", L22/(1-M22), "")</f>
        <v/>
      </c>
    </row>
    <row r="23" customFormat="false" ht="12.8" hidden="false" customHeight="false" outlineLevel="0" collapsed="false">
      <c r="A23" s="1" t="s">
        <v>1000</v>
      </c>
      <c r="B23" s="31" t="s">
        <v>1001</v>
      </c>
      <c r="D23" s="32" t="str">
        <f aca="true">IF(C23&lt;&gt;"", SUM(INDEX(INDIRECT("'" &amp; B23 &amp; "'.$A$1:$Z$1000"), 0, MATCH("count", INDIRECT("'" &amp; B23 &amp; "'.$A$1:$Z$1"), 0))), "")</f>
        <v/>
      </c>
      <c r="E23" s="33" t="str">
        <f aca="true">IF(C23&lt;&gt;"", SUM(INDEX(INDIRECT("'" &amp; B23 &amp; "'.$A$1:$Z$1000"), 0, MATCH("cost", INDIRECT("'" &amp; B23 &amp; "'.$A$1:$Z$1"), 0))), "")</f>
        <v/>
      </c>
      <c r="F23" s="40" t="str">
        <f aca="true">IF(C23&lt;&gt;"", SUM(INDEX(INDIRECT("'" &amp; B23 &amp; "'.$A$1:$Z$1000"), 0, MATCH("total_assembly_time_min", INDIRECT("'" &amp; B23 &amp; "'.$A$1:$Z$1"), 0)))/60, "")</f>
        <v/>
      </c>
      <c r="G23" s="33" t="str">
        <f aca="false">IF(C23&lt;&gt;"", values!$B$2, "")</f>
        <v/>
      </c>
      <c r="H23" s="33" t="str">
        <f aca="false">IF(C23&lt;&gt;"", F23*G23, "")</f>
        <v/>
      </c>
      <c r="I23" s="33" t="str">
        <f aca="false">IF(C23&lt;&gt;"", H23+E23, "")</f>
        <v/>
      </c>
      <c r="K23" s="33" t="str">
        <f aca="false">IF(C23&lt;&gt;"", L23-I23, "")</f>
        <v/>
      </c>
      <c r="L23" s="33" t="str">
        <f aca="false">IF(C23&lt;&gt;"", I23/(1-J23), "")</f>
        <v/>
      </c>
      <c r="M23" s="33" t="str">
        <f aca="false">IF(C23&lt;&gt;"", values!$A$2, "")</f>
        <v/>
      </c>
      <c r="N23" s="33" t="str">
        <f aca="false">IF(C23&lt;&gt;"", O23-L23, "")</f>
        <v/>
      </c>
      <c r="O23" s="33" t="str">
        <f aca="false">IF(C23&lt;&gt;"", L23/(1-M23), "")</f>
        <v/>
      </c>
    </row>
    <row r="24" customFormat="false" ht="12.8" hidden="false" customHeight="false" outlineLevel="0" collapsed="false">
      <c r="A24" s="1" t="s">
        <v>1002</v>
      </c>
      <c r="B24" s="31" t="s">
        <v>1003</v>
      </c>
      <c r="D24" s="32" t="str">
        <f aca="true">IF(C24&lt;&gt;"", SUM(INDEX(INDIRECT("'" &amp; B24 &amp; "'.$A$1:$Z$1000"), 0, MATCH("count", INDIRECT("'" &amp; B24 &amp; "'.$A$1:$Z$1"), 0))), "")</f>
        <v/>
      </c>
      <c r="E24" s="33" t="str">
        <f aca="true">IF(C24&lt;&gt;"", SUM(INDEX(INDIRECT("'" &amp; B24 &amp; "'.$A$1:$Z$1000"), 0, MATCH("cost", INDIRECT("'" &amp; B24 &amp; "'.$A$1:$Z$1"), 0))), "")</f>
        <v/>
      </c>
      <c r="F24" s="40" t="str">
        <f aca="true">IF(C24&lt;&gt;"", SUM(INDEX(INDIRECT("'" &amp; B24 &amp; "'.$A$1:$Z$1000"), 0, MATCH("total_assembly_time_min", INDIRECT("'" &amp; B24 &amp; "'.$A$1:$Z$1"), 0)))/60, "")</f>
        <v/>
      </c>
      <c r="G24" s="33" t="str">
        <f aca="false">IF(C24&lt;&gt;"", values!$B$2, "")</f>
        <v/>
      </c>
      <c r="H24" s="33" t="str">
        <f aca="false">IF(C24&lt;&gt;"", F24*G24, "")</f>
        <v/>
      </c>
      <c r="I24" s="33" t="str">
        <f aca="false">IF(C24&lt;&gt;"", H24+E24, "")</f>
        <v/>
      </c>
      <c r="K24" s="33" t="str">
        <f aca="false">IF(C24&lt;&gt;"", L24-I24, "")</f>
        <v/>
      </c>
      <c r="L24" s="33" t="str">
        <f aca="false">IF(C24&lt;&gt;"", I24/(1-J24), "")</f>
        <v/>
      </c>
      <c r="M24" s="33" t="str">
        <f aca="false">IF(C24&lt;&gt;"", values!$A$2, "")</f>
        <v/>
      </c>
      <c r="N24" s="33" t="str">
        <f aca="false">IF(C24&lt;&gt;"", O24-L24, "")</f>
        <v/>
      </c>
      <c r="O24" s="33" t="str">
        <f aca="false">IF(C24&lt;&gt;"", L24/(1-M24), "")</f>
        <v/>
      </c>
    </row>
    <row r="25" customFormat="false" ht="12.8" hidden="false" customHeight="false" outlineLevel="0" collapsed="false">
      <c r="A25" s="1" t="s">
        <v>1004</v>
      </c>
      <c r="B25" s="31" t="s">
        <v>1005</v>
      </c>
      <c r="D25" s="32" t="str">
        <f aca="true">IF(C25&lt;&gt;"", SUM(INDEX(INDIRECT("'" &amp; B25 &amp; "'.$A$1:$Z$1000"), 0, MATCH("count", INDIRECT("'" &amp; B25 &amp; "'.$A$1:$Z$1"), 0))), "")</f>
        <v/>
      </c>
      <c r="E25" s="33" t="str">
        <f aca="true">IF(C25&lt;&gt;"", SUM(INDEX(INDIRECT("'" &amp; B25 &amp; "'.$A$1:$Z$1000"), 0, MATCH("cost", INDIRECT("'" &amp; B25 &amp; "'.$A$1:$Z$1"), 0))), "")</f>
        <v/>
      </c>
      <c r="F25" s="40" t="str">
        <f aca="true">IF(C25&lt;&gt;"", SUM(INDEX(INDIRECT("'" &amp; B25 &amp; "'.$A$1:$Z$1000"), 0, MATCH("total_assembly_time_min", INDIRECT("'" &amp; B25 &amp; "'.$A$1:$Z$1"), 0)))/60, "")</f>
        <v/>
      </c>
      <c r="G25" s="33" t="str">
        <f aca="false">IF(C25&lt;&gt;"", values!$B$2, "")</f>
        <v/>
      </c>
      <c r="H25" s="33" t="str">
        <f aca="false">IF(C25&lt;&gt;"", F25*G25, "")</f>
        <v/>
      </c>
      <c r="I25" s="33" t="str">
        <f aca="false">IF(C25&lt;&gt;"", H25+E25, "")</f>
        <v/>
      </c>
      <c r="K25" s="33" t="str">
        <f aca="false">IF(C25&lt;&gt;"", L25-I25, "")</f>
        <v/>
      </c>
      <c r="L25" s="33" t="str">
        <f aca="false">IF(C25&lt;&gt;"", I25/(1-J25), "")</f>
        <v/>
      </c>
      <c r="M25" s="33" t="str">
        <f aca="false">IF(C25&lt;&gt;"", values!$A$2, "")</f>
        <v/>
      </c>
      <c r="N25" s="33" t="str">
        <f aca="false">IF(C25&lt;&gt;"", O25-L25, "")</f>
        <v/>
      </c>
      <c r="O25" s="33" t="str">
        <f aca="false">IF(C25&lt;&gt;"", L25/(1-M25), "")</f>
        <v/>
      </c>
    </row>
    <row r="26" customFormat="false" ht="12.8" hidden="false" customHeight="false" outlineLevel="0" collapsed="false">
      <c r="A26" s="1" t="s">
        <v>1006</v>
      </c>
      <c r="B26" s="31" t="s">
        <v>1007</v>
      </c>
      <c r="D26" s="32" t="str">
        <f aca="true">IF(C26&lt;&gt;"", SUM(INDEX(INDIRECT("'" &amp; B26 &amp; "'.$A$1:$Z$1000"), 0, MATCH("count", INDIRECT("'" &amp; B26 &amp; "'.$A$1:$Z$1"), 0))), "")</f>
        <v/>
      </c>
      <c r="E26" s="33" t="str">
        <f aca="true">IF(C26&lt;&gt;"", SUM(INDEX(INDIRECT("'" &amp; B26 &amp; "'.$A$1:$Z$1000"), 0, MATCH("cost", INDIRECT("'" &amp; B26 &amp; "'.$A$1:$Z$1"), 0))), "")</f>
        <v/>
      </c>
      <c r="F26" s="40" t="str">
        <f aca="true">IF(C26&lt;&gt;"", SUM(INDEX(INDIRECT("'" &amp; B26 &amp; "'.$A$1:$Z$1000"), 0, MATCH("total_assembly_time_min", INDIRECT("'" &amp; B26 &amp; "'.$A$1:$Z$1"), 0)))/60, "")</f>
        <v/>
      </c>
      <c r="G26" s="33" t="str">
        <f aca="false">IF(C26&lt;&gt;"", values!$B$2, "")</f>
        <v/>
      </c>
      <c r="H26" s="33" t="str">
        <f aca="false">IF(C26&lt;&gt;"", F26*G26, "")</f>
        <v/>
      </c>
      <c r="I26" s="33" t="str">
        <f aca="false">IF(C26&lt;&gt;"", H26+E26, "")</f>
        <v/>
      </c>
      <c r="K26" s="33" t="str">
        <f aca="false">IF(C26&lt;&gt;"", L26-I26, "")</f>
        <v/>
      </c>
      <c r="L26" s="33" t="str">
        <f aca="false">IF(C26&lt;&gt;"", I26/(1-J26), "")</f>
        <v/>
      </c>
      <c r="M26" s="33" t="str">
        <f aca="false">IF(C26&lt;&gt;"", values!$A$2, "")</f>
        <v/>
      </c>
      <c r="N26" s="33" t="str">
        <f aca="false">IF(C26&lt;&gt;"", O26-L26, "")</f>
        <v/>
      </c>
      <c r="O26" s="33" t="str">
        <f aca="false">IF(C26&lt;&gt;"", L26/(1-M26), "")</f>
        <v/>
      </c>
    </row>
    <row r="27" customFormat="false" ht="12.8" hidden="false" customHeight="false" outlineLevel="0" collapsed="false">
      <c r="A27" s="1" t="s">
        <v>1008</v>
      </c>
      <c r="B27" s="31" t="s">
        <v>1009</v>
      </c>
      <c r="D27" s="32" t="str">
        <f aca="true">IF(C27&lt;&gt;"", SUM(INDEX(INDIRECT("'" &amp; B27 &amp; "'.$A$1:$Z$1000"), 0, MATCH("count", INDIRECT("'" &amp; B27 &amp; "'.$A$1:$Z$1"), 0))), "")</f>
        <v/>
      </c>
      <c r="E27" s="33" t="str">
        <f aca="true">IF(C27&lt;&gt;"", SUM(INDEX(INDIRECT("'" &amp; B27 &amp; "'.$A$1:$Z$1000"), 0, MATCH("cost", INDIRECT("'" &amp; B27 &amp; "'.$A$1:$Z$1"), 0))), "")</f>
        <v/>
      </c>
      <c r="F27" s="40" t="str">
        <f aca="true">IF(C27&lt;&gt;"", SUM(INDEX(INDIRECT("'" &amp; B27 &amp; "'.$A$1:$Z$1000"), 0, MATCH("total_assembly_time_min", INDIRECT("'" &amp; B27 &amp; "'.$A$1:$Z$1"), 0)))/60, "")</f>
        <v/>
      </c>
      <c r="G27" s="33" t="str">
        <f aca="false">IF(C27&lt;&gt;"", values!$B$2, "")</f>
        <v/>
      </c>
      <c r="H27" s="33" t="str">
        <f aca="false">IF(C27&lt;&gt;"", F27*G27, "")</f>
        <v/>
      </c>
      <c r="I27" s="33" t="str">
        <f aca="false">IF(C27&lt;&gt;"", H27+E27, "")</f>
        <v/>
      </c>
      <c r="K27" s="33" t="str">
        <f aca="false">IF(C27&lt;&gt;"", L27-I27, "")</f>
        <v/>
      </c>
      <c r="L27" s="33" t="str">
        <f aca="false">IF(C27&lt;&gt;"", I27/(1-J27), "")</f>
        <v/>
      </c>
      <c r="M27" s="33" t="str">
        <f aca="false">IF(C27&lt;&gt;"", values!$A$2, "")</f>
        <v/>
      </c>
      <c r="N27" s="33" t="str">
        <f aca="false">IF(C27&lt;&gt;"", O27-L27, "")</f>
        <v/>
      </c>
      <c r="O27" s="33" t="str">
        <f aca="false">IF(C27&lt;&gt;"", L27/(1-M27), "")</f>
        <v/>
      </c>
    </row>
    <row r="28" customFormat="false" ht="12.8" hidden="false" customHeight="false" outlineLevel="0" collapsed="false">
      <c r="A28" s="1" t="s">
        <v>1010</v>
      </c>
      <c r="B28" s="31" t="s">
        <v>1011</v>
      </c>
      <c r="D28" s="32" t="str">
        <f aca="true">IF(C28&lt;&gt;"", SUM(INDEX(INDIRECT("'" &amp; B28 &amp; "'.$A$1:$Z$1000"), 0, MATCH("count", INDIRECT("'" &amp; B28 &amp; "'.$A$1:$Z$1"), 0))), "")</f>
        <v/>
      </c>
      <c r="E28" s="33" t="str">
        <f aca="true">IF(C28&lt;&gt;"", SUM(INDEX(INDIRECT("'" &amp; B28 &amp; "'.$A$1:$Z$1000"), 0, MATCH("cost", INDIRECT("'" &amp; B28 &amp; "'.$A$1:$Z$1"), 0))), "")</f>
        <v/>
      </c>
      <c r="F28" s="40" t="str">
        <f aca="true">IF(C28&lt;&gt;"", SUM(INDEX(INDIRECT("'" &amp; B28 &amp; "'.$A$1:$Z$1000"), 0, MATCH("total_assembly_time_min", INDIRECT("'" &amp; B28 &amp; "'.$A$1:$Z$1"), 0)))/60, "")</f>
        <v/>
      </c>
      <c r="G28" s="33" t="str">
        <f aca="false">IF(C28&lt;&gt;"", values!$B$2, "")</f>
        <v/>
      </c>
      <c r="H28" s="33" t="str">
        <f aca="false">IF(C28&lt;&gt;"", F28*G28, "")</f>
        <v/>
      </c>
      <c r="I28" s="33" t="str">
        <f aca="false">IF(C28&lt;&gt;"", H28+E28, "")</f>
        <v/>
      </c>
      <c r="K28" s="33" t="str">
        <f aca="false">IF(C28&lt;&gt;"", L28-I28, "")</f>
        <v/>
      </c>
      <c r="L28" s="33" t="str">
        <f aca="false">IF(C28&lt;&gt;"", I28/(1-J28), "")</f>
        <v/>
      </c>
      <c r="M28" s="33" t="str">
        <f aca="false">IF(C28&lt;&gt;"", values!$A$2, "")</f>
        <v/>
      </c>
      <c r="N28" s="33" t="str">
        <f aca="false">IF(C28&lt;&gt;"", O28-L28, "")</f>
        <v/>
      </c>
      <c r="O28" s="33" t="str">
        <f aca="false">IF(C28&lt;&gt;"", L28/(1-M28), "")</f>
        <v/>
      </c>
    </row>
    <row r="29" customFormat="false" ht="12.8" hidden="false" customHeight="false" outlineLevel="0" collapsed="false">
      <c r="A29" s="1" t="s">
        <v>1012</v>
      </c>
      <c r="B29" s="31" t="s">
        <v>1013</v>
      </c>
      <c r="D29" s="32" t="str">
        <f aca="true">IF(C29&lt;&gt;"", SUM(INDEX(INDIRECT("'" &amp; B29 &amp; "'.$A$1:$Z$1000"), 0, MATCH("count", INDIRECT("'" &amp; B29 &amp; "'.$A$1:$Z$1"), 0))), "")</f>
        <v/>
      </c>
      <c r="E29" s="33" t="str">
        <f aca="true">IF(C29&lt;&gt;"", SUM(INDEX(INDIRECT("'" &amp; B29 &amp; "'.$A$1:$Z$1000"), 0, MATCH("cost", INDIRECT("'" &amp; B29 &amp; "'.$A$1:$Z$1"), 0))), "")</f>
        <v/>
      </c>
      <c r="F29" s="40" t="str">
        <f aca="true">IF(C29&lt;&gt;"", SUM(INDEX(INDIRECT("'" &amp; B29 &amp; "'.$A$1:$Z$1000"), 0, MATCH("total_assembly_time_min", INDIRECT("'" &amp; B29 &amp; "'.$A$1:$Z$1"), 0)))/60, "")</f>
        <v/>
      </c>
      <c r="G29" s="33" t="str">
        <f aca="false">IF(C29&lt;&gt;"", values!$B$2, "")</f>
        <v/>
      </c>
      <c r="H29" s="33" t="str">
        <f aca="false">IF(C29&lt;&gt;"", F29*G29, "")</f>
        <v/>
      </c>
      <c r="I29" s="33" t="str">
        <f aca="false">IF(C29&lt;&gt;"", H29+E29, "")</f>
        <v/>
      </c>
      <c r="K29" s="33" t="str">
        <f aca="false">IF(C29&lt;&gt;"", L29-I29, "")</f>
        <v/>
      </c>
      <c r="L29" s="33" t="str">
        <f aca="false">IF(C29&lt;&gt;"", I29/(1-J29), "")</f>
        <v/>
      </c>
      <c r="M29" s="33" t="str">
        <f aca="false">IF(C29&lt;&gt;"", values!$A$2, "")</f>
        <v/>
      </c>
      <c r="N29" s="33" t="str">
        <f aca="false">IF(C29&lt;&gt;"", O29-L29, "")</f>
        <v/>
      </c>
      <c r="O29" s="33" t="str">
        <f aca="false">IF(C29&lt;&gt;"", L29/(1-M29), "")</f>
        <v/>
      </c>
    </row>
    <row r="30" customFormat="false" ht="12.8" hidden="false" customHeight="false" outlineLevel="0" collapsed="false">
      <c r="A30" s="1" t="s">
        <v>1014</v>
      </c>
      <c r="B30" s="31" t="s">
        <v>1015</v>
      </c>
      <c r="D30" s="32" t="str">
        <f aca="true">IF(C30&lt;&gt;"", SUM(INDEX(INDIRECT("'" &amp; B30 &amp; "'.$A$1:$Z$1000"), 0, MATCH("count", INDIRECT("'" &amp; B30 &amp; "'.$A$1:$Z$1"), 0))), "")</f>
        <v/>
      </c>
      <c r="E30" s="33" t="str">
        <f aca="true">IF(C30&lt;&gt;"", SUM(INDEX(INDIRECT("'" &amp; B30 &amp; "'.$A$1:$Z$1000"), 0, MATCH("cost", INDIRECT("'" &amp; B30 &amp; "'.$A$1:$Z$1"), 0))), "")</f>
        <v/>
      </c>
      <c r="F30" s="40" t="str">
        <f aca="true">IF(C30&lt;&gt;"", SUM(INDEX(INDIRECT("'" &amp; B30 &amp; "'.$A$1:$Z$1000"), 0, MATCH("total_assembly_time_min", INDIRECT("'" &amp; B30 &amp; "'.$A$1:$Z$1"), 0)))/60, "")</f>
        <v/>
      </c>
      <c r="G30" s="33" t="str">
        <f aca="false">IF(C30&lt;&gt;"", values!$B$2, "")</f>
        <v/>
      </c>
      <c r="H30" s="33" t="str">
        <f aca="false">IF(C30&lt;&gt;"", F30*G30, "")</f>
        <v/>
      </c>
      <c r="I30" s="33" t="str">
        <f aca="false">IF(C30&lt;&gt;"", H30+E30, "")</f>
        <v/>
      </c>
      <c r="K30" s="33" t="str">
        <f aca="false">IF(C30&lt;&gt;"", L30-I30, "")</f>
        <v/>
      </c>
      <c r="L30" s="33" t="str">
        <f aca="false">IF(C30&lt;&gt;"", I30/(1-J30), "")</f>
        <v/>
      </c>
      <c r="M30" s="33" t="str">
        <f aca="false">IF(C30&lt;&gt;"", values!$A$2, "")</f>
        <v/>
      </c>
      <c r="N30" s="33" t="str">
        <f aca="false">IF(C30&lt;&gt;"", O30-L30, "")</f>
        <v/>
      </c>
      <c r="O30" s="33" t="str">
        <f aca="false">IF(C30&lt;&gt;"", L30/(1-M30), "")</f>
        <v/>
      </c>
    </row>
    <row r="31" customFormat="false" ht="12.8" hidden="false" customHeight="false" outlineLevel="0" collapsed="false">
      <c r="A31" s="1" t="s">
        <v>1016</v>
      </c>
      <c r="B31" s="31" t="s">
        <v>1017</v>
      </c>
      <c r="D31" s="32" t="str">
        <f aca="true">IF(C31&lt;&gt;"", SUM(INDEX(INDIRECT("'" &amp; B31 &amp; "'.$A$1:$Z$1000"), 0, MATCH("count", INDIRECT("'" &amp; B31 &amp; "'.$A$1:$Z$1"), 0))), "")</f>
        <v/>
      </c>
      <c r="E31" s="33" t="str">
        <f aca="true">IF(C31&lt;&gt;"", SUM(INDEX(INDIRECT("'" &amp; B31 &amp; "'.$A$1:$Z$1000"), 0, MATCH("cost", INDIRECT("'" &amp; B31 &amp; "'.$A$1:$Z$1"), 0))), "")</f>
        <v/>
      </c>
      <c r="F31" s="40" t="str">
        <f aca="true">IF(C31&lt;&gt;"", SUM(INDEX(INDIRECT("'" &amp; B31 &amp; "'.$A$1:$Z$1000"), 0, MATCH("total_assembly_time_min", INDIRECT("'" &amp; B31 &amp; "'.$A$1:$Z$1"), 0)))/60, "")</f>
        <v/>
      </c>
      <c r="G31" s="33" t="str">
        <f aca="false">IF(C31&lt;&gt;"", values!$B$2, "")</f>
        <v/>
      </c>
      <c r="H31" s="33" t="str">
        <f aca="false">IF(C31&lt;&gt;"", F31*G31, "")</f>
        <v/>
      </c>
      <c r="I31" s="33" t="str">
        <f aca="false">IF(C31&lt;&gt;"", H31+E31, "")</f>
        <v/>
      </c>
      <c r="K31" s="33" t="str">
        <f aca="false">IF(C31&lt;&gt;"", L31-I31, "")</f>
        <v/>
      </c>
      <c r="L31" s="33" t="str">
        <f aca="false">IF(C31&lt;&gt;"", I31/(1-J31), "")</f>
        <v/>
      </c>
      <c r="M31" s="33" t="str">
        <f aca="false">IF(C31&lt;&gt;"", values!$A$2, "")</f>
        <v/>
      </c>
      <c r="N31" s="33" t="str">
        <f aca="false">IF(C31&lt;&gt;"", O31-L31, "")</f>
        <v/>
      </c>
      <c r="O31" s="33" t="str">
        <f aca="false">IF(C31&lt;&gt;"", L31/(1-M31), "")</f>
        <v/>
      </c>
    </row>
    <row r="32" customFormat="false" ht="12.8" hidden="false" customHeight="false" outlineLevel="0" collapsed="false">
      <c r="A32" s="1" t="s">
        <v>1018</v>
      </c>
      <c r="B32" s="31" t="s">
        <v>1019</v>
      </c>
      <c r="D32" s="32" t="str">
        <f aca="true">IF(C32&lt;&gt;"", SUM(INDEX(INDIRECT("'" &amp; B32 &amp; "'.$A$1:$Z$1000"), 0, MATCH("count", INDIRECT("'" &amp; B32 &amp; "'.$A$1:$Z$1"), 0))), "")</f>
        <v/>
      </c>
      <c r="E32" s="33" t="str">
        <f aca="true">IF(C32&lt;&gt;"", SUM(INDEX(INDIRECT("'" &amp; B32 &amp; "'.$A$1:$Z$1000"), 0, MATCH("cost", INDIRECT("'" &amp; B32 &amp; "'.$A$1:$Z$1"), 0))), "")</f>
        <v/>
      </c>
      <c r="F32" s="40" t="str">
        <f aca="true">IF(C32&lt;&gt;"", SUM(INDEX(INDIRECT("'" &amp; B32 &amp; "'.$A$1:$Z$1000"), 0, MATCH("total_assembly_time_min", INDIRECT("'" &amp; B32 &amp; "'.$A$1:$Z$1"), 0)))/60, "")</f>
        <v/>
      </c>
      <c r="G32" s="33" t="str">
        <f aca="false">IF(C32&lt;&gt;"", values!$B$2, "")</f>
        <v/>
      </c>
      <c r="H32" s="33" t="str">
        <f aca="false">IF(C32&lt;&gt;"", F32*G32, "")</f>
        <v/>
      </c>
      <c r="I32" s="33" t="str">
        <f aca="false">IF(C32&lt;&gt;"", H32+E32, "")</f>
        <v/>
      </c>
      <c r="K32" s="33" t="str">
        <f aca="false">IF(C32&lt;&gt;"", L32-I32, "")</f>
        <v/>
      </c>
      <c r="L32" s="33" t="str">
        <f aca="false">IF(C32&lt;&gt;"", I32/(1-J32), "")</f>
        <v/>
      </c>
      <c r="M32" s="33" t="str">
        <f aca="false">IF(C32&lt;&gt;"", values!$A$2, "")</f>
        <v/>
      </c>
      <c r="N32" s="33" t="str">
        <f aca="false">IF(C32&lt;&gt;"", O32-L32, "")</f>
        <v/>
      </c>
      <c r="O32" s="33" t="str">
        <f aca="false">IF(C32&lt;&gt;"", L32/(1-M32), "")</f>
        <v/>
      </c>
    </row>
    <row r="33" customFormat="false" ht="12.8" hidden="false" customHeight="false" outlineLevel="0" collapsed="false">
      <c r="A33" s="1" t="s">
        <v>1020</v>
      </c>
      <c r="B33" s="31" t="s">
        <v>1021</v>
      </c>
      <c r="D33" s="32" t="str">
        <f aca="true">IF(C33&lt;&gt;"", SUM(INDEX(INDIRECT("'" &amp; B33 &amp; "'.$A$1:$Z$1000"), 0, MATCH("count", INDIRECT("'" &amp; B33 &amp; "'.$A$1:$Z$1"), 0))), "")</f>
        <v/>
      </c>
      <c r="E33" s="33" t="str">
        <f aca="true">IF(C33&lt;&gt;"", SUM(INDEX(INDIRECT("'" &amp; B33 &amp; "'.$A$1:$Z$1000"), 0, MATCH("cost", INDIRECT("'" &amp; B33 &amp; "'.$A$1:$Z$1"), 0))), "")</f>
        <v/>
      </c>
      <c r="F33" s="40" t="str">
        <f aca="true">IF(C33&lt;&gt;"", SUM(INDEX(INDIRECT("'" &amp; B33 &amp; "'.$A$1:$Z$1000"), 0, MATCH("total_assembly_time_min", INDIRECT("'" &amp; B33 &amp; "'.$A$1:$Z$1"), 0)))/60, "")</f>
        <v/>
      </c>
      <c r="G33" s="33" t="str">
        <f aca="false">IF(C33&lt;&gt;"", values!$B$2, "")</f>
        <v/>
      </c>
      <c r="H33" s="33" t="str">
        <f aca="false">IF(C33&lt;&gt;"", F33*G33, "")</f>
        <v/>
      </c>
      <c r="I33" s="33" t="str">
        <f aca="false">IF(C33&lt;&gt;"", H33+E33, "")</f>
        <v/>
      </c>
      <c r="K33" s="33" t="str">
        <f aca="false">IF(C33&lt;&gt;"", L33-I33, "")</f>
        <v/>
      </c>
      <c r="L33" s="33" t="str">
        <f aca="false">IF(C33&lt;&gt;"", I33/(1-J33), "")</f>
        <v/>
      </c>
      <c r="M33" s="33" t="str">
        <f aca="false">IF(C33&lt;&gt;"", values!$A$2, "")</f>
        <v/>
      </c>
      <c r="N33" s="33" t="str">
        <f aca="false">IF(C33&lt;&gt;"", O33-L33, "")</f>
        <v/>
      </c>
      <c r="O33" s="33" t="str">
        <f aca="false">IF(C33&lt;&gt;"", L33/(1-M33), "")</f>
        <v/>
      </c>
    </row>
    <row r="34" customFormat="false" ht="12.8" hidden="false" customHeight="false" outlineLevel="0" collapsed="false">
      <c r="A34" s="1" t="s">
        <v>1022</v>
      </c>
      <c r="B34" s="31" t="s">
        <v>1023</v>
      </c>
      <c r="D34" s="32" t="str">
        <f aca="true">IF(C34&lt;&gt;"", SUM(INDEX(INDIRECT("'" &amp; B34 &amp; "'.$A$1:$Z$1000"), 0, MATCH("count", INDIRECT("'" &amp; B34 &amp; "'.$A$1:$Z$1"), 0))), "")</f>
        <v/>
      </c>
      <c r="E34" s="33" t="str">
        <f aca="true">IF(C34&lt;&gt;"", SUM(INDEX(INDIRECT("'" &amp; B34 &amp; "'.$A$1:$Z$1000"), 0, MATCH("cost", INDIRECT("'" &amp; B34 &amp; "'.$A$1:$Z$1"), 0))), "")</f>
        <v/>
      </c>
      <c r="F34" s="40" t="str">
        <f aca="true">IF(C34&lt;&gt;"", SUM(INDEX(INDIRECT("'" &amp; B34 &amp; "'.$A$1:$Z$1000"), 0, MATCH("total_assembly_time_min", INDIRECT("'" &amp; B34 &amp; "'.$A$1:$Z$1"), 0)))/60, "")</f>
        <v/>
      </c>
      <c r="G34" s="33" t="str">
        <f aca="false">IF(C34&lt;&gt;"", values!$B$2, "")</f>
        <v/>
      </c>
      <c r="H34" s="33" t="str">
        <f aca="false">IF(C34&lt;&gt;"", F34*G34, "")</f>
        <v/>
      </c>
      <c r="I34" s="33" t="str">
        <f aca="false">IF(C34&lt;&gt;"", H34+E34, "")</f>
        <v/>
      </c>
      <c r="K34" s="33" t="str">
        <f aca="false">IF(C34&lt;&gt;"", L34-I34, "")</f>
        <v/>
      </c>
      <c r="L34" s="33" t="str">
        <f aca="false">IF(C34&lt;&gt;"", I34/(1-J34), "")</f>
        <v/>
      </c>
      <c r="M34" s="33" t="str">
        <f aca="false">IF(C34&lt;&gt;"", values!$A$2, "")</f>
        <v/>
      </c>
      <c r="N34" s="33" t="str">
        <f aca="false">IF(C34&lt;&gt;"", O34-L34, "")</f>
        <v/>
      </c>
      <c r="O34" s="33" t="str">
        <f aca="false">IF(C34&lt;&gt;"", L34/(1-M34), "")</f>
        <v/>
      </c>
    </row>
    <row r="35" customFormat="false" ht="12.8" hidden="false" customHeight="false" outlineLevel="0" collapsed="false">
      <c r="A35" s="1" t="s">
        <v>1024</v>
      </c>
      <c r="B35" s="31" t="s">
        <v>1025</v>
      </c>
      <c r="D35" s="32" t="str">
        <f aca="true">IF(C35&lt;&gt;"", SUM(INDEX(INDIRECT("'" &amp; B35 &amp; "'.$A$1:$Z$1000"), 0, MATCH("count", INDIRECT("'" &amp; B35 &amp; "'.$A$1:$Z$1"), 0))), "")</f>
        <v/>
      </c>
      <c r="E35" s="33" t="str">
        <f aca="true">IF(C35&lt;&gt;"", SUM(INDEX(INDIRECT("'" &amp; B35 &amp; "'.$A$1:$Z$1000"), 0, MATCH("cost", INDIRECT("'" &amp; B35 &amp; "'.$A$1:$Z$1"), 0))), "")</f>
        <v/>
      </c>
      <c r="F35" s="40" t="str">
        <f aca="true">IF(C35&lt;&gt;"", SUM(INDEX(INDIRECT("'" &amp; B35 &amp; "'.$A$1:$Z$1000"), 0, MATCH("total_assembly_time_min", INDIRECT("'" &amp; B35 &amp; "'.$A$1:$Z$1"), 0)))/60, "")</f>
        <v/>
      </c>
      <c r="G35" s="33" t="str">
        <f aca="false">IF(C35&lt;&gt;"", values!$B$2, "")</f>
        <v/>
      </c>
      <c r="H35" s="33" t="str">
        <f aca="false">IF(C35&lt;&gt;"", F35*G35, "")</f>
        <v/>
      </c>
      <c r="I35" s="33" t="str">
        <f aca="false">IF(C35&lt;&gt;"", H35+E35, "")</f>
        <v/>
      </c>
      <c r="K35" s="33" t="str">
        <f aca="false">IF(C35&lt;&gt;"", L35-I35, "")</f>
        <v/>
      </c>
      <c r="L35" s="33" t="str">
        <f aca="false">IF(C35&lt;&gt;"", I35/(1-J35), "")</f>
        <v/>
      </c>
      <c r="M35" s="33" t="str">
        <f aca="false">IF(C35&lt;&gt;"", values!$A$2, "")</f>
        <v/>
      </c>
      <c r="N35" s="33" t="str">
        <f aca="false">IF(C35&lt;&gt;"", O35-L35, "")</f>
        <v/>
      </c>
      <c r="O35" s="33" t="str">
        <f aca="false">IF(C35&lt;&gt;"", L35/(1-M35), "")</f>
        <v/>
      </c>
    </row>
    <row r="36" customFormat="false" ht="12.8" hidden="false" customHeight="false" outlineLevel="0" collapsed="false">
      <c r="A36" s="1" t="s">
        <v>1026</v>
      </c>
      <c r="B36" s="31" t="s">
        <v>1027</v>
      </c>
      <c r="D36" s="32" t="str">
        <f aca="true">IF(C36&lt;&gt;"", SUM(INDEX(INDIRECT("'" &amp; B36 &amp; "'.$A$1:$Z$1000"), 0, MATCH("count", INDIRECT("'" &amp; B36 &amp; "'.$A$1:$Z$1"), 0))), "")</f>
        <v/>
      </c>
      <c r="E36" s="33" t="str">
        <f aca="true">IF(C36&lt;&gt;"", SUM(INDEX(INDIRECT("'" &amp; B36 &amp; "'.$A$1:$Z$1000"), 0, MATCH("cost", INDIRECT("'" &amp; B36 &amp; "'.$A$1:$Z$1"), 0))), "")</f>
        <v/>
      </c>
      <c r="F36" s="40" t="str">
        <f aca="true">IF(C36&lt;&gt;"", SUM(INDEX(INDIRECT("'" &amp; B36 &amp; "'.$A$1:$Z$1000"), 0, MATCH("total_assembly_time_min", INDIRECT("'" &amp; B36 &amp; "'.$A$1:$Z$1"), 0)))/60, "")</f>
        <v/>
      </c>
      <c r="G36" s="33" t="str">
        <f aca="false">IF(C36&lt;&gt;"", values!$B$2, "")</f>
        <v/>
      </c>
      <c r="H36" s="33" t="str">
        <f aca="false">IF(C36&lt;&gt;"", F36*G36, "")</f>
        <v/>
      </c>
      <c r="I36" s="33" t="str">
        <f aca="false">IF(C36&lt;&gt;"", H36+E36, "")</f>
        <v/>
      </c>
      <c r="K36" s="33" t="str">
        <f aca="false">IF(C36&lt;&gt;"", L36-I36, "")</f>
        <v/>
      </c>
      <c r="L36" s="33" t="str">
        <f aca="false">IF(C36&lt;&gt;"", I36/(1-J36), "")</f>
        <v/>
      </c>
      <c r="M36" s="33" t="str">
        <f aca="false">IF(C36&lt;&gt;"", values!$A$2, "")</f>
        <v/>
      </c>
      <c r="N36" s="33" t="str">
        <f aca="false">IF(C36&lt;&gt;"", O36-L36, "")</f>
        <v/>
      </c>
      <c r="O36" s="33" t="str">
        <f aca="false">IF(C36&lt;&gt;"", L36/(1-M36), "")</f>
        <v/>
      </c>
    </row>
    <row r="37" customFormat="false" ht="12.8" hidden="false" customHeight="false" outlineLevel="0" collapsed="false">
      <c r="A37" s="1" t="s">
        <v>1028</v>
      </c>
      <c r="B37" s="31" t="s">
        <v>1029</v>
      </c>
      <c r="D37" s="32" t="str">
        <f aca="true">IF(C37&lt;&gt;"", SUM(INDEX(INDIRECT("'" &amp; B37 &amp; "'.$A$1:$Z$1000"), 0, MATCH("count", INDIRECT("'" &amp; B37 &amp; "'.$A$1:$Z$1"), 0))), "")</f>
        <v/>
      </c>
      <c r="E37" s="33" t="str">
        <f aca="true">IF(C37&lt;&gt;"", SUM(INDEX(INDIRECT("'" &amp; B37 &amp; "'.$A$1:$Z$1000"), 0, MATCH("cost", INDIRECT("'" &amp; B37 &amp; "'.$A$1:$Z$1"), 0))), "")</f>
        <v/>
      </c>
      <c r="F37" s="40" t="str">
        <f aca="true">IF(C37&lt;&gt;"", SUM(INDEX(INDIRECT("'" &amp; B37 &amp; "'.$A$1:$Z$1000"), 0, MATCH("total_assembly_time_min", INDIRECT("'" &amp; B37 &amp; "'.$A$1:$Z$1"), 0)))/60, "")</f>
        <v/>
      </c>
      <c r="G37" s="33" t="str">
        <f aca="false">IF(C37&lt;&gt;"", values!$B$2, "")</f>
        <v/>
      </c>
      <c r="H37" s="33" t="str">
        <f aca="false">IF(C37&lt;&gt;"", F37*G37, "")</f>
        <v/>
      </c>
      <c r="I37" s="33" t="str">
        <f aca="false">IF(C37&lt;&gt;"", H37+E37, "")</f>
        <v/>
      </c>
      <c r="K37" s="33" t="str">
        <f aca="false">IF(C37&lt;&gt;"", L37-I37, "")</f>
        <v/>
      </c>
      <c r="L37" s="33" t="str">
        <f aca="false">IF(C37&lt;&gt;"", I37/(1-J37), "")</f>
        <v/>
      </c>
      <c r="M37" s="33" t="str">
        <f aca="false">IF(C37&lt;&gt;"", values!$A$2, "")</f>
        <v/>
      </c>
      <c r="N37" s="33" t="str">
        <f aca="false">IF(C37&lt;&gt;"", O37-L37, "")</f>
        <v/>
      </c>
      <c r="O37" s="33" t="str">
        <f aca="false">IF(C37&lt;&gt;"", L37/(1-M37), "")</f>
        <v/>
      </c>
    </row>
    <row r="38" customFormat="false" ht="12.8" hidden="false" customHeight="false" outlineLevel="0" collapsed="false">
      <c r="A38" s="1" t="s">
        <v>1030</v>
      </c>
      <c r="B38" s="31" t="s">
        <v>1031</v>
      </c>
      <c r="D38" s="32" t="str">
        <f aca="true">IF(C38&lt;&gt;"", SUM(INDEX(INDIRECT("'" &amp; B38 &amp; "'.$A$1:$Z$1000"), 0, MATCH("count", INDIRECT("'" &amp; B38 &amp; "'.$A$1:$Z$1"), 0))), "")</f>
        <v/>
      </c>
      <c r="E38" s="33" t="str">
        <f aca="true">IF(C38&lt;&gt;"", SUM(INDEX(INDIRECT("'" &amp; B38 &amp; "'.$A$1:$Z$1000"), 0, MATCH("cost", INDIRECT("'" &amp; B38 &amp; "'.$A$1:$Z$1"), 0))), "")</f>
        <v/>
      </c>
      <c r="F38" s="40" t="str">
        <f aca="true">IF(C38&lt;&gt;"", SUM(INDEX(INDIRECT("'" &amp; B38 &amp; "'.$A$1:$Z$1000"), 0, MATCH("total_assembly_time_min", INDIRECT("'" &amp; B38 &amp; "'.$A$1:$Z$1"), 0)))/60, "")</f>
        <v/>
      </c>
      <c r="G38" s="33" t="str">
        <f aca="false">IF(C38&lt;&gt;"", values!$B$2, "")</f>
        <v/>
      </c>
      <c r="H38" s="33" t="str">
        <f aca="false">IF(C38&lt;&gt;"", F38*G38, "")</f>
        <v/>
      </c>
      <c r="I38" s="33" t="str">
        <f aca="false">IF(C38&lt;&gt;"", H38+E38, "")</f>
        <v/>
      </c>
      <c r="K38" s="33" t="str">
        <f aca="false">IF(C38&lt;&gt;"", L38-I38, "")</f>
        <v/>
      </c>
      <c r="L38" s="33" t="str">
        <f aca="false">IF(C38&lt;&gt;"", I38/(1-J38), "")</f>
        <v/>
      </c>
      <c r="M38" s="33" t="str">
        <f aca="false">IF(C38&lt;&gt;"", values!$A$2, "")</f>
        <v/>
      </c>
      <c r="N38" s="33" t="str">
        <f aca="false">IF(C38&lt;&gt;"", O38-L38, "")</f>
        <v/>
      </c>
      <c r="O38" s="33" t="str">
        <f aca="false">IF(C38&lt;&gt;"", L38/(1-M38), "")</f>
        <v/>
      </c>
    </row>
    <row r="39" customFormat="false" ht="12.8" hidden="false" customHeight="false" outlineLevel="0" collapsed="false">
      <c r="A39" s="1" t="s">
        <v>1032</v>
      </c>
      <c r="B39" s="31" t="s">
        <v>1033</v>
      </c>
      <c r="D39" s="32" t="str">
        <f aca="true">IF(C39&lt;&gt;"", SUM(INDEX(INDIRECT("'" &amp; B39 &amp; "'.$A$1:$Z$1000"), 0, MATCH("count", INDIRECT("'" &amp; B39 &amp; "'.$A$1:$Z$1"), 0))), "")</f>
        <v/>
      </c>
      <c r="E39" s="33" t="str">
        <f aca="true">IF(C39&lt;&gt;"", SUM(INDEX(INDIRECT("'" &amp; B39 &amp; "'.$A$1:$Z$1000"), 0, MATCH("cost", INDIRECT("'" &amp; B39 &amp; "'.$A$1:$Z$1"), 0))), "")</f>
        <v/>
      </c>
      <c r="F39" s="40" t="str">
        <f aca="true">IF(C39&lt;&gt;"", SUM(INDEX(INDIRECT("'" &amp; B39 &amp; "'.$A$1:$Z$1000"), 0, MATCH("total_assembly_time_min", INDIRECT("'" &amp; B39 &amp; "'.$A$1:$Z$1"), 0)))/60, "")</f>
        <v/>
      </c>
      <c r="G39" s="33" t="str">
        <f aca="false">IF(C39&lt;&gt;"", values!$B$2, "")</f>
        <v/>
      </c>
      <c r="H39" s="33" t="str">
        <f aca="false">IF(C39&lt;&gt;"", F39*G39, "")</f>
        <v/>
      </c>
      <c r="I39" s="33" t="str">
        <f aca="false">IF(C39&lt;&gt;"", H39+E39, "")</f>
        <v/>
      </c>
      <c r="K39" s="33" t="str">
        <f aca="false">IF(C39&lt;&gt;"", L39-I39, "")</f>
        <v/>
      </c>
      <c r="L39" s="33" t="str">
        <f aca="false">IF(C39&lt;&gt;"", I39/(1-J39), "")</f>
        <v/>
      </c>
      <c r="M39" s="33" t="str">
        <f aca="false">IF(C39&lt;&gt;"", values!$A$2, "")</f>
        <v/>
      </c>
      <c r="N39" s="33" t="str">
        <f aca="false">IF(C39&lt;&gt;"", O39-L39, "")</f>
        <v/>
      </c>
      <c r="O39" s="33" t="str">
        <f aca="false">IF(C39&lt;&gt;"", L39/(1-M39), "")</f>
        <v/>
      </c>
    </row>
    <row r="40" customFormat="false" ht="12.8" hidden="false" customHeight="false" outlineLevel="0" collapsed="false">
      <c r="A40" s="1" t="s">
        <v>1034</v>
      </c>
      <c r="B40" s="31" t="s">
        <v>1035</v>
      </c>
      <c r="D40" s="32" t="str">
        <f aca="true">IF(C40&lt;&gt;"", SUM(INDEX(INDIRECT("'" &amp; B40 &amp; "'.$A$1:$Z$1000"), 0, MATCH("count", INDIRECT("'" &amp; B40 &amp; "'.$A$1:$Z$1"), 0))), "")</f>
        <v/>
      </c>
      <c r="E40" s="33" t="str">
        <f aca="true">IF(C40&lt;&gt;"", SUM(INDEX(INDIRECT("'" &amp; B40 &amp; "'.$A$1:$Z$1000"), 0, MATCH("cost", INDIRECT("'" &amp; B40 &amp; "'.$A$1:$Z$1"), 0))), "")</f>
        <v/>
      </c>
      <c r="F40" s="40" t="str">
        <f aca="true">IF(C40&lt;&gt;"", SUM(INDEX(INDIRECT("'" &amp; B40 &amp; "'.$A$1:$Z$1000"), 0, MATCH("total_assembly_time_min", INDIRECT("'" &amp; B40 &amp; "'.$A$1:$Z$1"), 0)))/60, "")</f>
        <v/>
      </c>
      <c r="G40" s="33" t="str">
        <f aca="false">IF(C40&lt;&gt;"", values!$B$2, "")</f>
        <v/>
      </c>
      <c r="H40" s="33" t="str">
        <f aca="false">IF(C40&lt;&gt;"", F40*G40, "")</f>
        <v/>
      </c>
      <c r="I40" s="33" t="str">
        <f aca="false">IF(C40&lt;&gt;"", H40+E40, "")</f>
        <v/>
      </c>
      <c r="K40" s="33" t="str">
        <f aca="false">IF(C40&lt;&gt;"", L40-I40, "")</f>
        <v/>
      </c>
      <c r="L40" s="33" t="str">
        <f aca="false">IF(C40&lt;&gt;"", I40/(1-J40), "")</f>
        <v/>
      </c>
      <c r="M40" s="33" t="str">
        <f aca="false">IF(C40&lt;&gt;"", values!$A$2, "")</f>
        <v/>
      </c>
      <c r="N40" s="33" t="str">
        <f aca="false">IF(C40&lt;&gt;"", O40-L40, "")</f>
        <v/>
      </c>
      <c r="O40" s="33" t="str">
        <f aca="false">IF(C40&lt;&gt;"", L40/(1-M40), "")</f>
        <v/>
      </c>
    </row>
    <row r="41" customFormat="false" ht="12.8" hidden="false" customHeight="false" outlineLevel="0" collapsed="false">
      <c r="A41" s="1" t="s">
        <v>1036</v>
      </c>
      <c r="B41" s="31" t="s">
        <v>1037</v>
      </c>
      <c r="D41" s="32" t="str">
        <f aca="true">IF(C41&lt;&gt;"", SUM(INDEX(INDIRECT("'" &amp; B41 &amp; "'.$A$1:$Z$1000"), 0, MATCH("count", INDIRECT("'" &amp; B41 &amp; "'.$A$1:$Z$1"), 0))), "")</f>
        <v/>
      </c>
      <c r="E41" s="33" t="str">
        <f aca="true">IF(C41&lt;&gt;"", SUM(INDEX(INDIRECT("'" &amp; B41 &amp; "'.$A$1:$Z$1000"), 0, MATCH("cost", INDIRECT("'" &amp; B41 &amp; "'.$A$1:$Z$1"), 0))), "")</f>
        <v/>
      </c>
      <c r="F41" s="40" t="str">
        <f aca="true">IF(C41&lt;&gt;"", SUM(INDEX(INDIRECT("'" &amp; B41 &amp; "'.$A$1:$Z$1000"), 0, MATCH("total_assembly_time_min", INDIRECT("'" &amp; B41 &amp; "'.$A$1:$Z$1"), 0)))/60, "")</f>
        <v/>
      </c>
      <c r="G41" s="33" t="str">
        <f aca="false">IF(C41&lt;&gt;"", values!$B$2, "")</f>
        <v/>
      </c>
      <c r="H41" s="33" t="str">
        <f aca="false">IF(C41&lt;&gt;"", F41*G41, "")</f>
        <v/>
      </c>
      <c r="I41" s="33" t="str">
        <f aca="false">IF(C41&lt;&gt;"", H41+E41, "")</f>
        <v/>
      </c>
      <c r="K41" s="33" t="str">
        <f aca="false">IF(C41&lt;&gt;"", L41-I41, "")</f>
        <v/>
      </c>
      <c r="L41" s="33" t="str">
        <f aca="false">IF(C41&lt;&gt;"", I41/(1-J41), "")</f>
        <v/>
      </c>
      <c r="M41" s="33" t="str">
        <f aca="false">IF(C41&lt;&gt;"", values!$A$2, "")</f>
        <v/>
      </c>
      <c r="N41" s="33" t="str">
        <f aca="false">IF(C41&lt;&gt;"", O41-L41, "")</f>
        <v/>
      </c>
      <c r="O41" s="33" t="str">
        <f aca="false">IF(C41&lt;&gt;"", L41/(1-M41), "")</f>
        <v/>
      </c>
    </row>
    <row r="42" customFormat="false" ht="12.8" hidden="false" customHeight="false" outlineLevel="0" collapsed="false">
      <c r="A42" s="1" t="s">
        <v>1038</v>
      </c>
      <c r="B42" s="31" t="s">
        <v>1039</v>
      </c>
      <c r="D42" s="32" t="str">
        <f aca="true">IF(C42&lt;&gt;"", SUM(INDEX(INDIRECT("'" &amp; B42 &amp; "'.$A$1:$Z$1000"), 0, MATCH("count", INDIRECT("'" &amp; B42 &amp; "'.$A$1:$Z$1"), 0))), "")</f>
        <v/>
      </c>
      <c r="E42" s="33" t="str">
        <f aca="true">IF(C42&lt;&gt;"", SUM(INDEX(INDIRECT("'" &amp; B42 &amp; "'.$A$1:$Z$1000"), 0, MATCH("cost", INDIRECT("'" &amp; B42 &amp; "'.$A$1:$Z$1"), 0))), "")</f>
        <v/>
      </c>
      <c r="F42" s="40" t="str">
        <f aca="true">IF(C42&lt;&gt;"", SUM(INDEX(INDIRECT("'" &amp; B42 &amp; "'.$A$1:$Z$1000"), 0, MATCH("total_assembly_time_min", INDIRECT("'" &amp; B42 &amp; "'.$A$1:$Z$1"), 0)))/60, "")</f>
        <v/>
      </c>
      <c r="G42" s="33" t="str">
        <f aca="false">IF(C42&lt;&gt;"", values!$B$2, "")</f>
        <v/>
      </c>
      <c r="H42" s="33" t="str">
        <f aca="false">IF(C42&lt;&gt;"", F42*G42, "")</f>
        <v/>
      </c>
      <c r="I42" s="33" t="str">
        <f aca="false">IF(C42&lt;&gt;"", H42+E42, "")</f>
        <v/>
      </c>
      <c r="K42" s="33" t="str">
        <f aca="false">IF(C42&lt;&gt;"", L42-I42, "")</f>
        <v/>
      </c>
      <c r="L42" s="33" t="str">
        <f aca="false">IF(C42&lt;&gt;"", I42/(1-J42), "")</f>
        <v/>
      </c>
      <c r="M42" s="33" t="str">
        <f aca="false">IF(C42&lt;&gt;"", values!$A$2, "")</f>
        <v/>
      </c>
      <c r="N42" s="33" t="str">
        <f aca="false">IF(C42&lt;&gt;"", O42-L42, "")</f>
        <v/>
      </c>
      <c r="O42" s="33" t="str">
        <f aca="false">IF(C42&lt;&gt;"", L42/(1-M42), "")</f>
        <v/>
      </c>
    </row>
    <row r="43" customFormat="false" ht="12.8" hidden="false" customHeight="false" outlineLevel="0" collapsed="false">
      <c r="A43" s="1" t="s">
        <v>1040</v>
      </c>
      <c r="B43" s="31" t="s">
        <v>1041</v>
      </c>
      <c r="D43" s="32" t="str">
        <f aca="true">IF(C43&lt;&gt;"", SUM(INDEX(INDIRECT("'" &amp; B43 &amp; "'.$A$1:$Z$1000"), 0, MATCH("count", INDIRECT("'" &amp; B43 &amp; "'.$A$1:$Z$1"), 0))), "")</f>
        <v/>
      </c>
      <c r="E43" s="33" t="str">
        <f aca="true">IF(C43&lt;&gt;"", SUM(INDEX(INDIRECT("'" &amp; B43 &amp; "'.$A$1:$Z$1000"), 0, MATCH("cost", INDIRECT("'" &amp; B43 &amp; "'.$A$1:$Z$1"), 0))), "")</f>
        <v/>
      </c>
      <c r="F43" s="40" t="str">
        <f aca="true">IF(C43&lt;&gt;"", SUM(INDEX(INDIRECT("'" &amp; B43 &amp; "'.$A$1:$Z$1000"), 0, MATCH("total_assembly_time_min", INDIRECT("'" &amp; B43 &amp; "'.$A$1:$Z$1"), 0)))/60, "")</f>
        <v/>
      </c>
      <c r="G43" s="33" t="str">
        <f aca="false">IF(C43&lt;&gt;"", values!$B$2, "")</f>
        <v/>
      </c>
      <c r="H43" s="33" t="str">
        <f aca="false">IF(C43&lt;&gt;"", F43*G43, "")</f>
        <v/>
      </c>
      <c r="I43" s="33" t="str">
        <f aca="false">IF(C43&lt;&gt;"", H43+E43, "")</f>
        <v/>
      </c>
      <c r="K43" s="33" t="str">
        <f aca="false">IF(C43&lt;&gt;"", L43-I43, "")</f>
        <v/>
      </c>
      <c r="L43" s="33" t="str">
        <f aca="false">IF(C43&lt;&gt;"", I43/(1-J43), "")</f>
        <v/>
      </c>
      <c r="M43" s="33" t="str">
        <f aca="false">IF(C43&lt;&gt;"", values!$A$2, "")</f>
        <v/>
      </c>
      <c r="N43" s="33" t="str">
        <f aca="false">IF(C43&lt;&gt;"", O43-L43, "")</f>
        <v/>
      </c>
      <c r="O43" s="33" t="str">
        <f aca="false">IF(C43&lt;&gt;"", L43/(1-M43), "")</f>
        <v/>
      </c>
    </row>
    <row r="44" customFormat="false" ht="12.8" hidden="false" customHeight="false" outlineLevel="0" collapsed="false">
      <c r="A44" s="1" t="s">
        <v>1042</v>
      </c>
      <c r="B44" s="31" t="s">
        <v>1043</v>
      </c>
      <c r="D44" s="32" t="str">
        <f aca="true">IF(C44&lt;&gt;"", SUM(INDEX(INDIRECT("'" &amp; B44 &amp; "'.$A$1:$Z$1000"), 0, MATCH("count", INDIRECT("'" &amp; B44 &amp; "'.$A$1:$Z$1"), 0))), "")</f>
        <v/>
      </c>
      <c r="E44" s="33" t="str">
        <f aca="true">IF(C44&lt;&gt;"", SUM(INDEX(INDIRECT("'" &amp; B44 &amp; "'.$A$1:$Z$1000"), 0, MATCH("cost", INDIRECT("'" &amp; B44 &amp; "'.$A$1:$Z$1"), 0))), "")</f>
        <v/>
      </c>
      <c r="F44" s="40" t="str">
        <f aca="true">IF(C44&lt;&gt;"", SUM(INDEX(INDIRECT("'" &amp; B44 &amp; "'.$A$1:$Z$1000"), 0, MATCH("total_assembly_time_min", INDIRECT("'" &amp; B44 &amp; "'.$A$1:$Z$1"), 0)))/60, "")</f>
        <v/>
      </c>
      <c r="G44" s="33" t="str">
        <f aca="false">IF(C44&lt;&gt;"", values!$B$2, "")</f>
        <v/>
      </c>
      <c r="H44" s="33" t="str">
        <f aca="false">IF(C44&lt;&gt;"", F44*G44, "")</f>
        <v/>
      </c>
      <c r="I44" s="33" t="str">
        <f aca="false">IF(C44&lt;&gt;"", H44+E44, "")</f>
        <v/>
      </c>
      <c r="K44" s="33" t="str">
        <f aca="false">IF(C44&lt;&gt;"", L44-I44, "")</f>
        <v/>
      </c>
      <c r="L44" s="33" t="str">
        <f aca="false">IF(C44&lt;&gt;"", I44/(1-J44), "")</f>
        <v/>
      </c>
      <c r="M44" s="33" t="str">
        <f aca="false">IF(C44&lt;&gt;"", values!$A$2, "")</f>
        <v/>
      </c>
      <c r="N44" s="33" t="str">
        <f aca="false">IF(C44&lt;&gt;"", O44-L44, "")</f>
        <v/>
      </c>
      <c r="O44" s="33" t="str">
        <f aca="false">IF(C44&lt;&gt;"", L44/(1-M44), "")</f>
        <v/>
      </c>
    </row>
    <row r="45" customFormat="false" ht="12.8" hidden="false" customHeight="false" outlineLevel="0" collapsed="false">
      <c r="A45" s="1" t="s">
        <v>1044</v>
      </c>
      <c r="B45" s="31" t="s">
        <v>1045</v>
      </c>
      <c r="D45" s="32" t="str">
        <f aca="true">IF(C45&lt;&gt;"", SUM(INDEX(INDIRECT("'" &amp; B45 &amp; "'.$A$1:$Z$1000"), 0, MATCH("count", INDIRECT("'" &amp; B45 &amp; "'.$A$1:$Z$1"), 0))), "")</f>
        <v/>
      </c>
      <c r="E45" s="33" t="str">
        <f aca="true">IF(C45&lt;&gt;"", SUM(INDEX(INDIRECT("'" &amp; B45 &amp; "'.$A$1:$Z$1000"), 0, MATCH("cost", INDIRECT("'" &amp; B45 &amp; "'.$A$1:$Z$1"), 0))), "")</f>
        <v/>
      </c>
      <c r="F45" s="40" t="str">
        <f aca="true">IF(C45&lt;&gt;"", SUM(INDEX(INDIRECT("'" &amp; B45 &amp; "'.$A$1:$Z$1000"), 0, MATCH("total_assembly_time_min", INDIRECT("'" &amp; B45 &amp; "'.$A$1:$Z$1"), 0)))/60, "")</f>
        <v/>
      </c>
      <c r="G45" s="33" t="str">
        <f aca="false">IF(C45&lt;&gt;"", values!$B$2, "")</f>
        <v/>
      </c>
      <c r="H45" s="33" t="str">
        <f aca="false">IF(C45&lt;&gt;"", F45*G45, "")</f>
        <v/>
      </c>
      <c r="I45" s="33" t="str">
        <f aca="false">IF(C45&lt;&gt;"", H45+E45, "")</f>
        <v/>
      </c>
      <c r="K45" s="33" t="str">
        <f aca="false">IF(C45&lt;&gt;"", L45-I45, "")</f>
        <v/>
      </c>
      <c r="L45" s="33" t="str">
        <f aca="false">IF(C45&lt;&gt;"", I45/(1-J45), "")</f>
        <v/>
      </c>
      <c r="M45" s="33" t="str">
        <f aca="false">IF(C45&lt;&gt;"", values!$A$2, "")</f>
        <v/>
      </c>
      <c r="N45" s="33" t="str">
        <f aca="false">IF(C45&lt;&gt;"", O45-L45, "")</f>
        <v/>
      </c>
      <c r="O45" s="33" t="str">
        <f aca="false">IF(C45&lt;&gt;"", L45/(1-M45), "")</f>
        <v/>
      </c>
    </row>
    <row r="46" customFormat="false" ht="12.8" hidden="false" customHeight="false" outlineLevel="0" collapsed="false">
      <c r="A46" s="1" t="s">
        <v>1046</v>
      </c>
      <c r="B46" s="31" t="s">
        <v>1047</v>
      </c>
      <c r="D46" s="32" t="str">
        <f aca="true">IF(C46&lt;&gt;"", SUM(INDEX(INDIRECT("'" &amp; B46 &amp; "'.$A$1:$Z$1000"), 0, MATCH("count", INDIRECT("'" &amp; B46 &amp; "'.$A$1:$Z$1"), 0))), "")</f>
        <v/>
      </c>
      <c r="E46" s="33" t="str">
        <f aca="true">IF(C46&lt;&gt;"", SUM(INDEX(INDIRECT("'" &amp; B46 &amp; "'.$A$1:$Z$1000"), 0, MATCH("cost", INDIRECT("'" &amp; B46 &amp; "'.$A$1:$Z$1"), 0))), "")</f>
        <v/>
      </c>
      <c r="F46" s="40" t="str">
        <f aca="true">IF(C46&lt;&gt;"", SUM(INDEX(INDIRECT("'" &amp; B46 &amp; "'.$A$1:$Z$1000"), 0, MATCH("total_assembly_time_min", INDIRECT("'" &amp; B46 &amp; "'.$A$1:$Z$1"), 0)))/60, "")</f>
        <v/>
      </c>
      <c r="G46" s="33" t="str">
        <f aca="false">IF(C46&lt;&gt;"", values!$B$2, "")</f>
        <v/>
      </c>
      <c r="H46" s="33" t="str">
        <f aca="false">IF(C46&lt;&gt;"", F46*G46, "")</f>
        <v/>
      </c>
      <c r="I46" s="33" t="str">
        <f aca="false">IF(C46&lt;&gt;"", H46+E46, "")</f>
        <v/>
      </c>
      <c r="K46" s="33" t="str">
        <f aca="false">IF(C46&lt;&gt;"", L46-I46, "")</f>
        <v/>
      </c>
      <c r="L46" s="33" t="str">
        <f aca="false">IF(C46&lt;&gt;"", I46/(1-J46), "")</f>
        <v/>
      </c>
      <c r="M46" s="33" t="str">
        <f aca="false">IF(C46&lt;&gt;"", values!$A$2, "")</f>
        <v/>
      </c>
      <c r="N46" s="33" t="str">
        <f aca="false">IF(C46&lt;&gt;"", O46-L46, "")</f>
        <v/>
      </c>
      <c r="O46" s="33" t="str">
        <f aca="false">IF(C46&lt;&gt;"", L46/(1-M46), "")</f>
        <v/>
      </c>
    </row>
    <row r="47" customFormat="false" ht="12.8" hidden="false" customHeight="false" outlineLevel="0" collapsed="false">
      <c r="A47" s="1" t="s">
        <v>1048</v>
      </c>
      <c r="B47" s="31" t="s">
        <v>1049</v>
      </c>
      <c r="D47" s="32" t="str">
        <f aca="true">IF(C47&lt;&gt;"", SUM(INDEX(INDIRECT("'" &amp; B47 &amp; "'.$A$1:$Z$1000"), 0, MATCH("count", INDIRECT("'" &amp; B47 &amp; "'.$A$1:$Z$1"), 0))), "")</f>
        <v/>
      </c>
      <c r="E47" s="33" t="str">
        <f aca="true">IF(C47&lt;&gt;"", SUM(INDEX(INDIRECT("'" &amp; B47 &amp; "'.$A$1:$Z$1000"), 0, MATCH("cost", INDIRECT("'" &amp; B47 &amp; "'.$A$1:$Z$1"), 0))), "")</f>
        <v/>
      </c>
      <c r="F47" s="40" t="str">
        <f aca="true">IF(C47&lt;&gt;"", SUM(INDEX(INDIRECT("'" &amp; B47 &amp; "'.$A$1:$Z$1000"), 0, MATCH("total_assembly_time_min", INDIRECT("'" &amp; B47 &amp; "'.$A$1:$Z$1"), 0)))/60, "")</f>
        <v/>
      </c>
      <c r="G47" s="33" t="str">
        <f aca="false">IF(C47&lt;&gt;"", values!$B$2, "")</f>
        <v/>
      </c>
      <c r="H47" s="33" t="str">
        <f aca="false">IF(C47&lt;&gt;"", F47*G47, "")</f>
        <v/>
      </c>
      <c r="I47" s="33" t="str">
        <f aca="false">IF(C47&lt;&gt;"", H47+E47, "")</f>
        <v/>
      </c>
      <c r="K47" s="33" t="str">
        <f aca="false">IF(C47&lt;&gt;"", L47-I47, "")</f>
        <v/>
      </c>
      <c r="L47" s="33" t="str">
        <f aca="false">IF(C47&lt;&gt;"", I47/(1-J47), "")</f>
        <v/>
      </c>
      <c r="M47" s="33" t="str">
        <f aca="false">IF(C47&lt;&gt;"", values!$A$2, "")</f>
        <v/>
      </c>
      <c r="N47" s="33" t="str">
        <f aca="false">IF(C47&lt;&gt;"", O47-L47, "")</f>
        <v/>
      </c>
      <c r="O47" s="33" t="str">
        <f aca="false">IF(C47&lt;&gt;"", L47/(1-M47), "")</f>
        <v/>
      </c>
    </row>
    <row r="48" customFormat="false" ht="12.8" hidden="false" customHeight="false" outlineLevel="0" collapsed="false">
      <c r="A48" s="1" t="s">
        <v>1050</v>
      </c>
      <c r="B48" s="31" t="s">
        <v>1051</v>
      </c>
      <c r="D48" s="32" t="str">
        <f aca="true">IF(C48&lt;&gt;"", SUM(INDEX(INDIRECT("'" &amp; B48 &amp; "'.$A$1:$Z$1000"), 0, MATCH("count", INDIRECT("'" &amp; B48 &amp; "'.$A$1:$Z$1"), 0))), "")</f>
        <v/>
      </c>
      <c r="E48" s="33" t="str">
        <f aca="true">IF(C48&lt;&gt;"", SUM(INDEX(INDIRECT("'" &amp; B48 &amp; "'.$A$1:$Z$1000"), 0, MATCH("cost", INDIRECT("'" &amp; B48 &amp; "'.$A$1:$Z$1"), 0))), "")</f>
        <v/>
      </c>
      <c r="F48" s="40" t="str">
        <f aca="true">IF(C48&lt;&gt;"", SUM(INDEX(INDIRECT("'" &amp; B48 &amp; "'.$A$1:$Z$1000"), 0, MATCH("total_assembly_time_min", INDIRECT("'" &amp; B48 &amp; "'.$A$1:$Z$1"), 0)))/60, "")</f>
        <v/>
      </c>
      <c r="G48" s="33" t="str">
        <f aca="false">IF(C48&lt;&gt;"", values!$B$2, "")</f>
        <v/>
      </c>
      <c r="H48" s="33" t="str">
        <f aca="false">IF(C48&lt;&gt;"", F48*G48, "")</f>
        <v/>
      </c>
      <c r="I48" s="33" t="str">
        <f aca="false">IF(C48&lt;&gt;"", H48+E48, "")</f>
        <v/>
      </c>
      <c r="K48" s="33" t="str">
        <f aca="false">IF(C48&lt;&gt;"", L48-I48, "")</f>
        <v/>
      </c>
      <c r="L48" s="33" t="str">
        <f aca="false">IF(C48&lt;&gt;"", I48/(1-J48), "")</f>
        <v/>
      </c>
      <c r="M48" s="33" t="str">
        <f aca="false">IF(C48&lt;&gt;"", values!$A$2, "")</f>
        <v/>
      </c>
      <c r="N48" s="33" t="str">
        <f aca="false">IF(C48&lt;&gt;"", O48-L48, "")</f>
        <v/>
      </c>
      <c r="O48" s="33" t="str">
        <f aca="false">IF(C48&lt;&gt;"", L48/(1-M48), "")</f>
        <v/>
      </c>
    </row>
    <row r="49" customFormat="false" ht="12.8" hidden="false" customHeight="false" outlineLevel="0" collapsed="false">
      <c r="A49" s="1" t="s">
        <v>1052</v>
      </c>
      <c r="B49" s="31" t="s">
        <v>1053</v>
      </c>
      <c r="D49" s="32" t="str">
        <f aca="true">IF(C49&lt;&gt;"", SUM(INDEX(INDIRECT("'" &amp; B49 &amp; "'.$A$1:$Z$1000"), 0, MATCH("count", INDIRECT("'" &amp; B49 &amp; "'.$A$1:$Z$1"), 0))), "")</f>
        <v/>
      </c>
      <c r="E49" s="33" t="str">
        <f aca="true">IF(C49&lt;&gt;"", SUM(INDEX(INDIRECT("'" &amp; B49 &amp; "'.$A$1:$Z$1000"), 0, MATCH("cost", INDIRECT("'" &amp; B49 &amp; "'.$A$1:$Z$1"), 0))), "")</f>
        <v/>
      </c>
      <c r="F49" s="40" t="str">
        <f aca="true">IF(C49&lt;&gt;"", SUM(INDEX(INDIRECT("'" &amp; B49 &amp; "'.$A$1:$Z$1000"), 0, MATCH("total_assembly_time_min", INDIRECT("'" &amp; B49 &amp; "'.$A$1:$Z$1"), 0)))/60, "")</f>
        <v/>
      </c>
      <c r="G49" s="33" t="str">
        <f aca="false">IF(C49&lt;&gt;"", values!$B$2, "")</f>
        <v/>
      </c>
      <c r="H49" s="33" t="str">
        <f aca="false">IF(C49&lt;&gt;"", F49*G49, "")</f>
        <v/>
      </c>
      <c r="I49" s="33" t="str">
        <f aca="false">IF(C49&lt;&gt;"", H49+E49, "")</f>
        <v/>
      </c>
      <c r="K49" s="33" t="str">
        <f aca="false">IF(C49&lt;&gt;"", L49-I49, "")</f>
        <v/>
      </c>
      <c r="L49" s="33" t="str">
        <f aca="false">IF(C49&lt;&gt;"", I49/(1-J49), "")</f>
        <v/>
      </c>
      <c r="M49" s="33" t="str">
        <f aca="false">IF(C49&lt;&gt;"", values!$A$2, "")</f>
        <v/>
      </c>
      <c r="N49" s="33" t="str">
        <f aca="false">IF(C49&lt;&gt;"", O49-L49, "")</f>
        <v/>
      </c>
      <c r="O49" s="33" t="str">
        <f aca="false">IF(C49&lt;&gt;"", L49/(1-M49), "")</f>
        <v/>
      </c>
    </row>
    <row r="50" customFormat="false" ht="12.8" hidden="false" customHeight="false" outlineLevel="0" collapsed="false">
      <c r="A50" s="1" t="s">
        <v>1054</v>
      </c>
      <c r="B50" s="31" t="s">
        <v>1055</v>
      </c>
      <c r="D50" s="32" t="str">
        <f aca="true">IF(C50&lt;&gt;"", SUM(INDEX(INDIRECT("'" &amp; B50 &amp; "'.$A$1:$Z$1000"), 0, MATCH("count", INDIRECT("'" &amp; B50 &amp; "'.$A$1:$Z$1"), 0))), "")</f>
        <v/>
      </c>
      <c r="E50" s="33" t="str">
        <f aca="true">IF(C50&lt;&gt;"", SUM(INDEX(INDIRECT("'" &amp; B50 &amp; "'.$A$1:$Z$1000"), 0, MATCH("cost", INDIRECT("'" &amp; B50 &amp; "'.$A$1:$Z$1"), 0))), "")</f>
        <v/>
      </c>
      <c r="F50" s="40" t="str">
        <f aca="true">IF(C50&lt;&gt;"", SUM(INDEX(INDIRECT("'" &amp; B50 &amp; "'.$A$1:$Z$1000"), 0, MATCH("total_assembly_time_min", INDIRECT("'" &amp; B50 &amp; "'.$A$1:$Z$1"), 0)))/60, "")</f>
        <v/>
      </c>
      <c r="G50" s="33" t="str">
        <f aca="false">IF(C50&lt;&gt;"", values!$B$2, "")</f>
        <v/>
      </c>
      <c r="H50" s="33" t="str">
        <f aca="false">IF(C50&lt;&gt;"", F50*G50, "")</f>
        <v/>
      </c>
      <c r="I50" s="33" t="str">
        <f aca="false">IF(C50&lt;&gt;"", H50+E50, "")</f>
        <v/>
      </c>
      <c r="K50" s="33" t="str">
        <f aca="false">IF(C50&lt;&gt;"", L50-I50, "")</f>
        <v/>
      </c>
      <c r="L50" s="33" t="str">
        <f aca="false">IF(C50&lt;&gt;"", I50/(1-J50), "")</f>
        <v/>
      </c>
      <c r="M50" s="33" t="str">
        <f aca="false">IF(C50&lt;&gt;"", values!$A$2, "")</f>
        <v/>
      </c>
      <c r="N50" s="33" t="str">
        <f aca="false">IF(C50&lt;&gt;"", O50-L50, "")</f>
        <v/>
      </c>
      <c r="O50" s="33" t="str">
        <f aca="false">IF(C50&lt;&gt;"", L50/(1-M50), "")</f>
        <v/>
      </c>
    </row>
    <row r="51" customFormat="false" ht="12.8" hidden="false" customHeight="false" outlineLevel="0" collapsed="false">
      <c r="A51" s="1" t="s">
        <v>1056</v>
      </c>
      <c r="B51" s="31" t="s">
        <v>1057</v>
      </c>
      <c r="D51" s="32" t="str">
        <f aca="true">IF(C51&lt;&gt;"", SUM(INDEX(INDIRECT("'" &amp; B51 &amp; "'.$A$1:$Z$1000"), 0, MATCH("count", INDIRECT("'" &amp; B51 &amp; "'.$A$1:$Z$1"), 0))), "")</f>
        <v/>
      </c>
      <c r="E51" s="33" t="str">
        <f aca="true">IF(C51&lt;&gt;"", SUM(INDEX(INDIRECT("'" &amp; B51 &amp; "'.$A$1:$Z$1000"), 0, MATCH("cost", INDIRECT("'" &amp; B51 &amp; "'.$A$1:$Z$1"), 0))), "")</f>
        <v/>
      </c>
      <c r="F51" s="40" t="str">
        <f aca="true">IF(C51&lt;&gt;"", SUM(INDEX(INDIRECT("'" &amp; B51 &amp; "'.$A$1:$Z$1000"), 0, MATCH("total_assembly_time_min", INDIRECT("'" &amp; B51 &amp; "'.$A$1:$Z$1"), 0)))/60, "")</f>
        <v/>
      </c>
      <c r="G51" s="33" t="str">
        <f aca="false">IF(C51&lt;&gt;"", values!$B$2, "")</f>
        <v/>
      </c>
      <c r="H51" s="33" t="str">
        <f aca="false">IF(C51&lt;&gt;"", F51*G51, "")</f>
        <v/>
      </c>
      <c r="I51" s="33" t="str">
        <f aca="false">IF(C51&lt;&gt;"", H51+E51, "")</f>
        <v/>
      </c>
      <c r="K51" s="33" t="str">
        <f aca="false">IF(C51&lt;&gt;"", L51-I51, "")</f>
        <v/>
      </c>
      <c r="L51" s="33" t="str">
        <f aca="false">IF(C51&lt;&gt;"", I51/(1-J51), "")</f>
        <v/>
      </c>
      <c r="M51" s="33" t="str">
        <f aca="false">IF(C51&lt;&gt;"", values!$A$2, "")</f>
        <v/>
      </c>
      <c r="N51" s="33" t="str">
        <f aca="false">IF(C51&lt;&gt;"", O51-L51, "")</f>
        <v/>
      </c>
      <c r="O51" s="33" t="str">
        <f aca="false">IF(C51&lt;&gt;"", L51/(1-M51), "")</f>
        <v/>
      </c>
    </row>
    <row r="52" customFormat="false" ht="12.8" hidden="false" customHeight="false" outlineLevel="0" collapsed="false">
      <c r="A52" s="1" t="s">
        <v>1058</v>
      </c>
      <c r="B52" s="31" t="s">
        <v>1059</v>
      </c>
      <c r="D52" s="32" t="str">
        <f aca="true">IF(C52&lt;&gt;"", SUM(INDEX(INDIRECT("'" &amp; B52 &amp; "'.$A$1:$Z$1000"), 0, MATCH("count", INDIRECT("'" &amp; B52 &amp; "'.$A$1:$Z$1"), 0))), "")</f>
        <v/>
      </c>
      <c r="E52" s="33" t="str">
        <f aca="true">IF(C52&lt;&gt;"", SUM(INDEX(INDIRECT("'" &amp; B52 &amp; "'.$A$1:$Z$1000"), 0, MATCH("cost", INDIRECT("'" &amp; B52 &amp; "'.$A$1:$Z$1"), 0))), "")</f>
        <v/>
      </c>
      <c r="F52" s="40" t="str">
        <f aca="true">IF(C52&lt;&gt;"", SUM(INDEX(INDIRECT("'" &amp; B52 &amp; "'.$A$1:$Z$1000"), 0, MATCH("total_assembly_time_min", INDIRECT("'" &amp; B52 &amp; "'.$A$1:$Z$1"), 0)))/60, "")</f>
        <v/>
      </c>
      <c r="G52" s="33" t="str">
        <f aca="false">IF(C52&lt;&gt;"", values!$B$2, "")</f>
        <v/>
      </c>
      <c r="H52" s="33" t="str">
        <f aca="false">IF(C52&lt;&gt;"", F52*G52, "")</f>
        <v/>
      </c>
      <c r="I52" s="33" t="str">
        <f aca="false">IF(C52&lt;&gt;"", H52+E52, "")</f>
        <v/>
      </c>
      <c r="K52" s="33" t="str">
        <f aca="false">IF(C52&lt;&gt;"", L52-I52, "")</f>
        <v/>
      </c>
      <c r="L52" s="33" t="str">
        <f aca="false">IF(C52&lt;&gt;"", I52/(1-J52), "")</f>
        <v/>
      </c>
      <c r="M52" s="33" t="str">
        <f aca="false">IF(C52&lt;&gt;"", values!$A$2, "")</f>
        <v/>
      </c>
      <c r="N52" s="33" t="str">
        <f aca="false">IF(C52&lt;&gt;"", O52-L52, "")</f>
        <v/>
      </c>
      <c r="O52" s="33" t="str">
        <f aca="false">IF(C52&lt;&gt;"", L52/(1-M52), "")</f>
        <v/>
      </c>
    </row>
    <row r="53" customFormat="false" ht="12.8" hidden="false" customHeight="false" outlineLevel="0" collapsed="false">
      <c r="A53" s="1" t="s">
        <v>1060</v>
      </c>
      <c r="B53" s="31" t="s">
        <v>1061</v>
      </c>
      <c r="D53" s="32" t="str">
        <f aca="true">IF(C53&lt;&gt;"", SUM(INDEX(INDIRECT("'" &amp; B53 &amp; "'.$A$1:$Z$1000"), 0, MATCH("count", INDIRECT("'" &amp; B53 &amp; "'.$A$1:$Z$1"), 0))), "")</f>
        <v/>
      </c>
      <c r="E53" s="33" t="str">
        <f aca="true">IF(C53&lt;&gt;"", SUM(INDEX(INDIRECT("'" &amp; B53 &amp; "'.$A$1:$Z$1000"), 0, MATCH("cost", INDIRECT("'" &amp; B53 &amp; "'.$A$1:$Z$1"), 0))), "")</f>
        <v/>
      </c>
      <c r="F53" s="40" t="str">
        <f aca="true">IF(C53&lt;&gt;"", SUM(INDEX(INDIRECT("'" &amp; B53 &amp; "'.$A$1:$Z$1000"), 0, MATCH("total_assembly_time_min", INDIRECT("'" &amp; B53 &amp; "'.$A$1:$Z$1"), 0)))/60, "")</f>
        <v/>
      </c>
      <c r="G53" s="33" t="str">
        <f aca="false">IF(C53&lt;&gt;"", values!$B$2, "")</f>
        <v/>
      </c>
      <c r="H53" s="33" t="str">
        <f aca="false">IF(C53&lt;&gt;"", F53*G53, "")</f>
        <v/>
      </c>
      <c r="I53" s="33" t="str">
        <f aca="false">IF(C53&lt;&gt;"", H53+E53, "")</f>
        <v/>
      </c>
      <c r="K53" s="33" t="str">
        <f aca="false">IF(C53&lt;&gt;"", L53-I53, "")</f>
        <v/>
      </c>
      <c r="L53" s="33" t="str">
        <f aca="false">IF(C53&lt;&gt;"", I53/(1-J53), "")</f>
        <v/>
      </c>
      <c r="M53" s="33" t="str">
        <f aca="false">IF(C53&lt;&gt;"", values!$A$2, "")</f>
        <v/>
      </c>
      <c r="N53" s="33" t="str">
        <f aca="false">IF(C53&lt;&gt;"", O53-L53, "")</f>
        <v/>
      </c>
      <c r="O53" s="33" t="str">
        <f aca="false">IF(C53&lt;&gt;"", L53/(1-M53), "")</f>
        <v/>
      </c>
    </row>
    <row r="54" customFormat="false" ht="12.8" hidden="false" customHeight="false" outlineLevel="0" collapsed="false">
      <c r="A54" s="1" t="s">
        <v>1062</v>
      </c>
      <c r="B54" s="31" t="s">
        <v>1063</v>
      </c>
      <c r="D54" s="32" t="str">
        <f aca="true">IF(C54&lt;&gt;"", SUM(INDEX(INDIRECT("'" &amp; B54 &amp; "'.$A$1:$Z$1000"), 0, MATCH("count", INDIRECT("'" &amp; B54 &amp; "'.$A$1:$Z$1"), 0))), "")</f>
        <v/>
      </c>
      <c r="E54" s="33" t="str">
        <f aca="true">IF(C54&lt;&gt;"", SUM(INDEX(INDIRECT("'" &amp; B54 &amp; "'.$A$1:$Z$1000"), 0, MATCH("cost", INDIRECT("'" &amp; B54 &amp; "'.$A$1:$Z$1"), 0))), "")</f>
        <v/>
      </c>
      <c r="F54" s="40" t="str">
        <f aca="true">IF(C54&lt;&gt;"", SUM(INDEX(INDIRECT("'" &amp; B54 &amp; "'.$A$1:$Z$1000"), 0, MATCH("total_assembly_time_min", INDIRECT("'" &amp; B54 &amp; "'.$A$1:$Z$1"), 0)))/60, "")</f>
        <v/>
      </c>
      <c r="G54" s="33" t="str">
        <f aca="false">IF(C54&lt;&gt;"", values!$B$2, "")</f>
        <v/>
      </c>
      <c r="H54" s="33" t="str">
        <f aca="false">IF(C54&lt;&gt;"", F54*G54, "")</f>
        <v/>
      </c>
      <c r="I54" s="33" t="str">
        <f aca="false">IF(C54&lt;&gt;"", H54+E54, "")</f>
        <v/>
      </c>
      <c r="K54" s="33" t="str">
        <f aca="false">IF(C54&lt;&gt;"", L54-I54, "")</f>
        <v/>
      </c>
      <c r="L54" s="33" t="str">
        <f aca="false">IF(C54&lt;&gt;"", I54/(1-J54), "")</f>
        <v/>
      </c>
      <c r="M54" s="33" t="str">
        <f aca="false">IF(C54&lt;&gt;"", values!$A$2, "")</f>
        <v/>
      </c>
      <c r="N54" s="33" t="str">
        <f aca="false">IF(C54&lt;&gt;"", O54-L54, "")</f>
        <v/>
      </c>
      <c r="O54" s="33" t="str">
        <f aca="false">IF(C54&lt;&gt;"", L54/(1-M54), "")</f>
        <v/>
      </c>
    </row>
    <row r="55" customFormat="false" ht="12.8" hidden="false" customHeight="false" outlineLevel="0" collapsed="false">
      <c r="A55" s="1" t="s">
        <v>1064</v>
      </c>
      <c r="B55" s="31" t="s">
        <v>1065</v>
      </c>
      <c r="D55" s="32" t="str">
        <f aca="true">IF(C55&lt;&gt;"", SUM(INDEX(INDIRECT("'" &amp; B55 &amp; "'.$A$1:$Z$1000"), 0, MATCH("count", INDIRECT("'" &amp; B55 &amp; "'.$A$1:$Z$1"), 0))), "")</f>
        <v/>
      </c>
      <c r="E55" s="33" t="str">
        <f aca="true">IF(C55&lt;&gt;"", SUM(INDEX(INDIRECT("'" &amp; B55 &amp; "'.$A$1:$Z$1000"), 0, MATCH("cost", INDIRECT("'" &amp; B55 &amp; "'.$A$1:$Z$1"), 0))), "")</f>
        <v/>
      </c>
      <c r="F55" s="40" t="str">
        <f aca="true">IF(C55&lt;&gt;"", SUM(INDEX(INDIRECT("'" &amp; B55 &amp; "'.$A$1:$Z$1000"), 0, MATCH("total_assembly_time_min", INDIRECT("'" &amp; B55 &amp; "'.$A$1:$Z$1"), 0)))/60, "")</f>
        <v/>
      </c>
      <c r="G55" s="33" t="str">
        <f aca="false">IF(C55&lt;&gt;"", values!$B$2, "")</f>
        <v/>
      </c>
      <c r="H55" s="33" t="str">
        <f aca="false">IF(C55&lt;&gt;"", F55*G55, "")</f>
        <v/>
      </c>
      <c r="I55" s="33" t="str">
        <f aca="false">IF(C55&lt;&gt;"", H55+E55, "")</f>
        <v/>
      </c>
      <c r="K55" s="33" t="str">
        <f aca="false">IF(C55&lt;&gt;"", L55-I55, "")</f>
        <v/>
      </c>
      <c r="L55" s="33" t="str">
        <f aca="false">IF(C55&lt;&gt;"", I55/(1-J55), "")</f>
        <v/>
      </c>
      <c r="M55" s="33" t="str">
        <f aca="false">IF(C55&lt;&gt;"", values!$A$2, "")</f>
        <v/>
      </c>
      <c r="N55" s="33" t="str">
        <f aca="false">IF(C55&lt;&gt;"", O55-L55, "")</f>
        <v/>
      </c>
      <c r="O55" s="33" t="str">
        <f aca="false">IF(C55&lt;&gt;"", L55/(1-M55), "")</f>
        <v/>
      </c>
    </row>
    <row r="56" customFormat="false" ht="12.8" hidden="false" customHeight="false" outlineLevel="0" collapsed="false">
      <c r="A56" s="1" t="s">
        <v>1066</v>
      </c>
      <c r="B56" s="31" t="s">
        <v>1067</v>
      </c>
      <c r="D56" s="32" t="str">
        <f aca="true">IF(C56&lt;&gt;"", SUM(INDEX(INDIRECT("'" &amp; B56 &amp; "'.$A$1:$Z$1000"), 0, MATCH("count", INDIRECT("'" &amp; B56 &amp; "'.$A$1:$Z$1"), 0))), "")</f>
        <v/>
      </c>
      <c r="E56" s="33" t="str">
        <f aca="true">IF(C56&lt;&gt;"", SUM(INDEX(INDIRECT("'" &amp; B56 &amp; "'.$A$1:$Z$1000"), 0, MATCH("cost", INDIRECT("'" &amp; B56 &amp; "'.$A$1:$Z$1"), 0))), "")</f>
        <v/>
      </c>
      <c r="F56" s="40" t="str">
        <f aca="true">IF(C56&lt;&gt;"", SUM(INDEX(INDIRECT("'" &amp; B56 &amp; "'.$A$1:$Z$1000"), 0, MATCH("total_assembly_time_min", INDIRECT("'" &amp; B56 &amp; "'.$A$1:$Z$1"), 0)))/60, "")</f>
        <v/>
      </c>
      <c r="G56" s="33" t="str">
        <f aca="false">IF(C56&lt;&gt;"", values!$B$2, "")</f>
        <v/>
      </c>
      <c r="H56" s="33" t="str">
        <f aca="false">IF(C56&lt;&gt;"", F56*G56, "")</f>
        <v/>
      </c>
      <c r="I56" s="33" t="str">
        <f aca="false">IF(C56&lt;&gt;"", H56+E56, "")</f>
        <v/>
      </c>
      <c r="K56" s="33" t="str">
        <f aca="false">IF(C56&lt;&gt;"", L56-I56, "")</f>
        <v/>
      </c>
      <c r="L56" s="33" t="str">
        <f aca="false">IF(C56&lt;&gt;"", I56/(1-J56), "")</f>
        <v/>
      </c>
      <c r="M56" s="33" t="str">
        <f aca="false">IF(C56&lt;&gt;"", values!$A$2, "")</f>
        <v/>
      </c>
      <c r="N56" s="33" t="str">
        <f aca="false">IF(C56&lt;&gt;"", O56-L56, "")</f>
        <v/>
      </c>
      <c r="O56" s="33" t="str">
        <f aca="false">IF(C56&lt;&gt;"", L56/(1-M56), "")</f>
        <v/>
      </c>
    </row>
    <row r="57" customFormat="false" ht="12.8" hidden="false" customHeight="false" outlineLevel="0" collapsed="false">
      <c r="A57" s="1" t="s">
        <v>1068</v>
      </c>
      <c r="B57" s="31" t="s">
        <v>1069</v>
      </c>
      <c r="D57" s="32" t="str">
        <f aca="true">IF(C57&lt;&gt;"", SUM(INDEX(INDIRECT("'" &amp; B57 &amp; "'.$A$1:$Z$1000"), 0, MATCH("count", INDIRECT("'" &amp; B57 &amp; "'.$A$1:$Z$1"), 0))), "")</f>
        <v/>
      </c>
      <c r="E57" s="33" t="str">
        <f aca="true">IF(C57&lt;&gt;"", SUM(INDEX(INDIRECT("'" &amp; B57 &amp; "'.$A$1:$Z$1000"), 0, MATCH("cost", INDIRECT("'" &amp; B57 &amp; "'.$A$1:$Z$1"), 0))), "")</f>
        <v/>
      </c>
      <c r="F57" s="40" t="str">
        <f aca="true">IF(C57&lt;&gt;"", SUM(INDEX(INDIRECT("'" &amp; B57 &amp; "'.$A$1:$Z$1000"), 0, MATCH("total_assembly_time_min", INDIRECT("'" &amp; B57 &amp; "'.$A$1:$Z$1"), 0)))/60, "")</f>
        <v/>
      </c>
      <c r="G57" s="33" t="str">
        <f aca="false">IF(C57&lt;&gt;"", values!$B$2, "")</f>
        <v/>
      </c>
      <c r="H57" s="33" t="str">
        <f aca="false">IF(C57&lt;&gt;"", F57*G57, "")</f>
        <v/>
      </c>
      <c r="I57" s="33" t="str">
        <f aca="false">IF(C57&lt;&gt;"", H57+E57, "")</f>
        <v/>
      </c>
      <c r="K57" s="33" t="str">
        <f aca="false">IF(C57&lt;&gt;"", L57-I57, "")</f>
        <v/>
      </c>
      <c r="L57" s="33" t="str">
        <f aca="false">IF(C57&lt;&gt;"", I57/(1-J57), "")</f>
        <v/>
      </c>
      <c r="M57" s="33" t="str">
        <f aca="false">IF(C57&lt;&gt;"", values!$A$2, "")</f>
        <v/>
      </c>
      <c r="N57" s="33" t="str">
        <f aca="false">IF(C57&lt;&gt;"", O57-L57, "")</f>
        <v/>
      </c>
      <c r="O57" s="33" t="str">
        <f aca="false">IF(C57&lt;&gt;"", L57/(1-M57), "")</f>
        <v/>
      </c>
    </row>
    <row r="58" customFormat="false" ht="12.8" hidden="false" customHeight="false" outlineLevel="0" collapsed="false">
      <c r="A58" s="1" t="s">
        <v>1070</v>
      </c>
      <c r="B58" s="31" t="s">
        <v>1071</v>
      </c>
      <c r="D58" s="32" t="str">
        <f aca="true">IF(C58&lt;&gt;"", SUM(INDEX(INDIRECT("'" &amp; B58 &amp; "'.$A$1:$Z$1000"), 0, MATCH("count", INDIRECT("'" &amp; B58 &amp; "'.$A$1:$Z$1"), 0))), "")</f>
        <v/>
      </c>
      <c r="E58" s="33" t="str">
        <f aca="true">IF(C58&lt;&gt;"", SUM(INDEX(INDIRECT("'" &amp; B58 &amp; "'.$A$1:$Z$1000"), 0, MATCH("cost", INDIRECT("'" &amp; B58 &amp; "'.$A$1:$Z$1"), 0))), "")</f>
        <v/>
      </c>
      <c r="F58" s="40" t="str">
        <f aca="true">IF(C58&lt;&gt;"", SUM(INDEX(INDIRECT("'" &amp; B58 &amp; "'.$A$1:$Z$1000"), 0, MATCH("total_assembly_time_min", INDIRECT("'" &amp; B58 &amp; "'.$A$1:$Z$1"), 0)))/60, "")</f>
        <v/>
      </c>
      <c r="G58" s="33" t="str">
        <f aca="false">IF(C58&lt;&gt;"", values!$B$2, "")</f>
        <v/>
      </c>
      <c r="H58" s="33" t="str">
        <f aca="false">IF(C58&lt;&gt;"", F58*G58, "")</f>
        <v/>
      </c>
      <c r="I58" s="33" t="str">
        <f aca="false">IF(C58&lt;&gt;"", H58+E58, "")</f>
        <v/>
      </c>
      <c r="K58" s="33" t="str">
        <f aca="false">IF(C58&lt;&gt;"", L58-I58, "")</f>
        <v/>
      </c>
      <c r="L58" s="33" t="str">
        <f aca="false">IF(C58&lt;&gt;"", I58/(1-J58), "")</f>
        <v/>
      </c>
      <c r="M58" s="33" t="str">
        <f aca="false">IF(C58&lt;&gt;"", values!$A$2, "")</f>
        <v/>
      </c>
      <c r="N58" s="33" t="str">
        <f aca="false">IF(C58&lt;&gt;"", O58-L58, "")</f>
        <v/>
      </c>
      <c r="O58" s="33" t="str">
        <f aca="false">IF(C58&lt;&gt;"", L58/(1-M58), "")</f>
        <v/>
      </c>
    </row>
    <row r="59" customFormat="false" ht="12.8" hidden="false" customHeight="false" outlineLevel="0" collapsed="false">
      <c r="A59" s="1" t="s">
        <v>1072</v>
      </c>
      <c r="B59" s="31" t="s">
        <v>1073</v>
      </c>
      <c r="D59" s="32" t="str">
        <f aca="true">IF(C59&lt;&gt;"", SUM(INDEX(INDIRECT("'" &amp; B59 &amp; "'.$A$1:$Z$1000"), 0, MATCH("count", INDIRECT("'" &amp; B59 &amp; "'.$A$1:$Z$1"), 0))), "")</f>
        <v/>
      </c>
      <c r="E59" s="33" t="str">
        <f aca="true">IF(C59&lt;&gt;"", SUM(INDEX(INDIRECT("'" &amp; B59 &amp; "'.$A$1:$Z$1000"), 0, MATCH("cost", INDIRECT("'" &amp; B59 &amp; "'.$A$1:$Z$1"), 0))), "")</f>
        <v/>
      </c>
      <c r="F59" s="40" t="str">
        <f aca="true">IF(C59&lt;&gt;"", SUM(INDEX(INDIRECT("'" &amp; B59 &amp; "'.$A$1:$Z$1000"), 0, MATCH("total_assembly_time_min", INDIRECT("'" &amp; B59 &amp; "'.$A$1:$Z$1"), 0)))/60, "")</f>
        <v/>
      </c>
      <c r="G59" s="33" t="str">
        <f aca="false">IF(C59&lt;&gt;"", values!$B$2, "")</f>
        <v/>
      </c>
      <c r="H59" s="33" t="str">
        <f aca="false">IF(C59&lt;&gt;"", F59*G59, "")</f>
        <v/>
      </c>
      <c r="I59" s="33" t="str">
        <f aca="false">IF(C59&lt;&gt;"", H59+E59, "")</f>
        <v/>
      </c>
      <c r="K59" s="33" t="str">
        <f aca="false">IF(C59&lt;&gt;"", L59-I59, "")</f>
        <v/>
      </c>
      <c r="L59" s="33" t="str">
        <f aca="false">IF(C59&lt;&gt;"", I59/(1-J59), "")</f>
        <v/>
      </c>
      <c r="M59" s="33" t="str">
        <f aca="false">IF(C59&lt;&gt;"", values!$A$2, "")</f>
        <v/>
      </c>
      <c r="N59" s="33" t="str">
        <f aca="false">IF(C59&lt;&gt;"", O59-L59, "")</f>
        <v/>
      </c>
      <c r="O59" s="33" t="str">
        <f aca="false">IF(C59&lt;&gt;"", L59/(1-M59), "")</f>
        <v/>
      </c>
    </row>
    <row r="60" customFormat="false" ht="12.8" hidden="false" customHeight="false" outlineLevel="0" collapsed="false">
      <c r="A60" s="1" t="s">
        <v>1074</v>
      </c>
      <c r="B60" s="31" t="s">
        <v>1075</v>
      </c>
      <c r="D60" s="32" t="str">
        <f aca="true">IF(C60&lt;&gt;"", SUM(INDEX(INDIRECT("'" &amp; B60 &amp; "'.$A$1:$Z$1000"), 0, MATCH("count", INDIRECT("'" &amp; B60 &amp; "'.$A$1:$Z$1"), 0))), "")</f>
        <v/>
      </c>
      <c r="E60" s="33" t="str">
        <f aca="true">IF(C60&lt;&gt;"", SUM(INDEX(INDIRECT("'" &amp; B60 &amp; "'.$A$1:$Z$1000"), 0, MATCH("cost", INDIRECT("'" &amp; B60 &amp; "'.$A$1:$Z$1"), 0))), "")</f>
        <v/>
      </c>
      <c r="F60" s="40" t="str">
        <f aca="true">IF(C60&lt;&gt;"", SUM(INDEX(INDIRECT("'" &amp; B60 &amp; "'.$A$1:$Z$1000"), 0, MATCH("total_assembly_time_min", INDIRECT("'" &amp; B60 &amp; "'.$A$1:$Z$1"), 0)))/60, "")</f>
        <v/>
      </c>
      <c r="G60" s="33" t="str">
        <f aca="false">IF(C60&lt;&gt;"", values!$B$2, "")</f>
        <v/>
      </c>
      <c r="H60" s="33" t="str">
        <f aca="false">IF(C60&lt;&gt;"", F60*G60, "")</f>
        <v/>
      </c>
      <c r="I60" s="33" t="str">
        <f aca="false">IF(C60&lt;&gt;"", H60+E60, "")</f>
        <v/>
      </c>
      <c r="K60" s="33" t="str">
        <f aca="false">IF(C60&lt;&gt;"", L60-I60, "")</f>
        <v/>
      </c>
      <c r="L60" s="33" t="str">
        <f aca="false">IF(C60&lt;&gt;"", I60/(1-J60), "")</f>
        <v/>
      </c>
      <c r="M60" s="33" t="str">
        <f aca="false">IF(C60&lt;&gt;"", values!$A$2, "")</f>
        <v/>
      </c>
      <c r="N60" s="33" t="str">
        <f aca="false">IF(C60&lt;&gt;"", O60-L60, "")</f>
        <v/>
      </c>
      <c r="O60" s="33" t="str">
        <f aca="false">IF(C60&lt;&gt;"", L60/(1-M60), "")</f>
        <v/>
      </c>
    </row>
    <row r="61" customFormat="false" ht="12.8" hidden="false" customHeight="false" outlineLevel="0" collapsed="false">
      <c r="A61" s="1" t="s">
        <v>1076</v>
      </c>
      <c r="B61" s="31" t="s">
        <v>1077</v>
      </c>
      <c r="D61" s="32" t="str">
        <f aca="true">IF(C61&lt;&gt;"", SUM(INDEX(INDIRECT("'" &amp; B61 &amp; "'.$A$1:$Z$1000"), 0, MATCH("count", INDIRECT("'" &amp; B61 &amp; "'.$A$1:$Z$1"), 0))), "")</f>
        <v/>
      </c>
      <c r="E61" s="33" t="str">
        <f aca="true">IF(C61&lt;&gt;"", SUM(INDEX(INDIRECT("'" &amp; B61 &amp; "'.$A$1:$Z$1000"), 0, MATCH("cost", INDIRECT("'" &amp; B61 &amp; "'.$A$1:$Z$1"), 0))), "")</f>
        <v/>
      </c>
      <c r="F61" s="40" t="str">
        <f aca="true">IF(C61&lt;&gt;"", SUM(INDEX(INDIRECT("'" &amp; B61 &amp; "'.$A$1:$Z$1000"), 0, MATCH("total_assembly_time_min", INDIRECT("'" &amp; B61 &amp; "'.$A$1:$Z$1"), 0)))/60, "")</f>
        <v/>
      </c>
      <c r="G61" s="33" t="str">
        <f aca="false">IF(C61&lt;&gt;"", values!$B$2, "")</f>
        <v/>
      </c>
      <c r="H61" s="33" t="str">
        <f aca="false">IF(C61&lt;&gt;"", F61*G61, "")</f>
        <v/>
      </c>
      <c r="I61" s="33" t="str">
        <f aca="false">IF(C61&lt;&gt;"", H61+E61, "")</f>
        <v/>
      </c>
      <c r="K61" s="33" t="str">
        <f aca="false">IF(C61&lt;&gt;"", L61-I61, "")</f>
        <v/>
      </c>
      <c r="L61" s="33" t="str">
        <f aca="false">IF(C61&lt;&gt;"", I61/(1-J61), "")</f>
        <v/>
      </c>
      <c r="M61" s="33" t="str">
        <f aca="false">IF(C61&lt;&gt;"", values!$A$2, "")</f>
        <v/>
      </c>
      <c r="N61" s="33" t="str">
        <f aca="false">IF(C61&lt;&gt;"", O61-L61, "")</f>
        <v/>
      </c>
      <c r="O61" s="33" t="str">
        <f aca="false">IF(C61&lt;&gt;"", L61/(1-M61), "")</f>
        <v/>
      </c>
    </row>
    <row r="62" customFormat="false" ht="12.8" hidden="false" customHeight="false" outlineLevel="0" collapsed="false">
      <c r="A62" s="1" t="s">
        <v>1078</v>
      </c>
      <c r="B62" s="31" t="s">
        <v>1079</v>
      </c>
      <c r="D62" s="32" t="str">
        <f aca="true">IF(C62&lt;&gt;"", SUM(INDEX(INDIRECT("'" &amp; B62 &amp; "'.$A$1:$Z$1000"), 0, MATCH("count", INDIRECT("'" &amp; B62 &amp; "'.$A$1:$Z$1"), 0))), "")</f>
        <v/>
      </c>
      <c r="E62" s="33" t="str">
        <f aca="true">IF(C62&lt;&gt;"", SUM(INDEX(INDIRECT("'" &amp; B62 &amp; "'.$A$1:$Z$1000"), 0, MATCH("cost", INDIRECT("'" &amp; B62 &amp; "'.$A$1:$Z$1"), 0))), "")</f>
        <v/>
      </c>
      <c r="F62" s="40" t="str">
        <f aca="true">IF(C62&lt;&gt;"", SUM(INDEX(INDIRECT("'" &amp; B62 &amp; "'.$A$1:$Z$1000"), 0, MATCH("total_assembly_time_min", INDIRECT("'" &amp; B62 &amp; "'.$A$1:$Z$1"), 0)))/60, "")</f>
        <v/>
      </c>
      <c r="G62" s="33" t="str">
        <f aca="false">IF(C62&lt;&gt;"", values!$B$2, "")</f>
        <v/>
      </c>
      <c r="H62" s="33" t="str">
        <f aca="false">IF(C62&lt;&gt;"", F62*G62, "")</f>
        <v/>
      </c>
      <c r="I62" s="33" t="str">
        <f aca="false">IF(C62&lt;&gt;"", H62+E62, "")</f>
        <v/>
      </c>
      <c r="K62" s="33" t="str">
        <f aca="false">IF(C62&lt;&gt;"", L62-I62, "")</f>
        <v/>
      </c>
      <c r="L62" s="33" t="str">
        <f aca="false">IF(C62&lt;&gt;"", I62/(1-J62), "")</f>
        <v/>
      </c>
      <c r="M62" s="33" t="str">
        <f aca="false">IF(C62&lt;&gt;"", values!$A$2, "")</f>
        <v/>
      </c>
      <c r="N62" s="33" t="str">
        <f aca="false">IF(C62&lt;&gt;"", O62-L62, "")</f>
        <v/>
      </c>
      <c r="O62" s="33" t="str">
        <f aca="false">IF(C62&lt;&gt;"", L62/(1-M62), "")</f>
        <v/>
      </c>
    </row>
    <row r="63" customFormat="false" ht="12.8" hidden="false" customHeight="false" outlineLevel="0" collapsed="false">
      <c r="A63" s="1" t="s">
        <v>1080</v>
      </c>
      <c r="B63" s="31" t="s">
        <v>1081</v>
      </c>
      <c r="D63" s="32" t="str">
        <f aca="true">IF(C63&lt;&gt;"", SUM(INDEX(INDIRECT("'" &amp; B63 &amp; "'.$A$1:$Z$1000"), 0, MATCH("count", INDIRECT("'" &amp; B63 &amp; "'.$A$1:$Z$1"), 0))), "")</f>
        <v/>
      </c>
      <c r="E63" s="33" t="str">
        <f aca="true">IF(C63&lt;&gt;"", SUM(INDEX(INDIRECT("'" &amp; B63 &amp; "'.$A$1:$Z$1000"), 0, MATCH("cost", INDIRECT("'" &amp; B63 &amp; "'.$A$1:$Z$1"), 0))), "")</f>
        <v/>
      </c>
      <c r="F63" s="40" t="str">
        <f aca="true">IF(C63&lt;&gt;"", SUM(INDEX(INDIRECT("'" &amp; B63 &amp; "'.$A$1:$Z$1000"), 0, MATCH("total_assembly_time_min", INDIRECT("'" &amp; B63 &amp; "'.$A$1:$Z$1"), 0)))/60, "")</f>
        <v/>
      </c>
      <c r="G63" s="33" t="str">
        <f aca="false">IF(C63&lt;&gt;"", values!$B$2, "")</f>
        <v/>
      </c>
      <c r="H63" s="33" t="str">
        <f aca="false">IF(C63&lt;&gt;"", F63*G63, "")</f>
        <v/>
      </c>
      <c r="I63" s="33" t="str">
        <f aca="false">IF(C63&lt;&gt;"", H63+E63, "")</f>
        <v/>
      </c>
      <c r="K63" s="33" t="str">
        <f aca="false">IF(C63&lt;&gt;"", L63-I63, "")</f>
        <v/>
      </c>
      <c r="L63" s="33" t="str">
        <f aca="false">IF(C63&lt;&gt;"", I63/(1-J63), "")</f>
        <v/>
      </c>
      <c r="M63" s="33" t="str">
        <f aca="false">IF(C63&lt;&gt;"", values!$A$2, "")</f>
        <v/>
      </c>
      <c r="N63" s="33" t="str">
        <f aca="false">IF(C63&lt;&gt;"", O63-L63, "")</f>
        <v/>
      </c>
      <c r="O63" s="33" t="str">
        <f aca="false">IF(C63&lt;&gt;"", L63/(1-M63), "")</f>
        <v/>
      </c>
    </row>
    <row r="64" customFormat="false" ht="12.8" hidden="false" customHeight="false" outlineLevel="0" collapsed="false">
      <c r="A64" s="1" t="s">
        <v>1082</v>
      </c>
      <c r="B64" s="31" t="s">
        <v>1083</v>
      </c>
      <c r="D64" s="32" t="str">
        <f aca="true">IF(C64&lt;&gt;"", SUM(INDEX(INDIRECT("'" &amp; B64 &amp; "'.$A$1:$Z$1000"), 0, MATCH("count", INDIRECT("'" &amp; B64 &amp; "'.$A$1:$Z$1"), 0))), "")</f>
        <v/>
      </c>
      <c r="E64" s="33" t="str">
        <f aca="true">IF(C64&lt;&gt;"", SUM(INDEX(INDIRECT("'" &amp; B64 &amp; "'.$A$1:$Z$1000"), 0, MATCH("cost", INDIRECT("'" &amp; B64 &amp; "'.$A$1:$Z$1"), 0))), "")</f>
        <v/>
      </c>
      <c r="F64" s="40" t="str">
        <f aca="true">IF(C64&lt;&gt;"", SUM(INDEX(INDIRECT("'" &amp; B64 &amp; "'.$A$1:$Z$1000"), 0, MATCH("total_assembly_time_min", INDIRECT("'" &amp; B64 &amp; "'.$A$1:$Z$1"), 0)))/60, "")</f>
        <v/>
      </c>
      <c r="G64" s="33" t="str">
        <f aca="false">IF(C64&lt;&gt;"", values!$B$2, "")</f>
        <v/>
      </c>
      <c r="H64" s="33" t="str">
        <f aca="false">IF(C64&lt;&gt;"", F64*G64, "")</f>
        <v/>
      </c>
      <c r="I64" s="33" t="str">
        <f aca="false">IF(C64&lt;&gt;"", H64+E64, "")</f>
        <v/>
      </c>
      <c r="K64" s="33" t="str">
        <f aca="false">IF(C64&lt;&gt;"", L64-I64, "")</f>
        <v/>
      </c>
      <c r="L64" s="33" t="str">
        <f aca="false">IF(C64&lt;&gt;"", I64/(1-J64), "")</f>
        <v/>
      </c>
      <c r="M64" s="33" t="str">
        <f aca="false">IF(C64&lt;&gt;"", values!$A$2, "")</f>
        <v/>
      </c>
      <c r="N64" s="33" t="str">
        <f aca="false">IF(C64&lt;&gt;"", O64-L64, "")</f>
        <v/>
      </c>
      <c r="O64" s="33" t="str">
        <f aca="false">IF(C64&lt;&gt;"", L64/(1-M64), "")</f>
        <v/>
      </c>
    </row>
    <row r="65" customFormat="false" ht="12.8" hidden="false" customHeight="false" outlineLevel="0" collapsed="false">
      <c r="A65" s="1" t="s">
        <v>1084</v>
      </c>
      <c r="B65" s="31" t="s">
        <v>1085</v>
      </c>
      <c r="D65" s="32" t="str">
        <f aca="true">IF(C65&lt;&gt;"", SUM(INDEX(INDIRECT("'" &amp; B65 &amp; "'.$A$1:$Z$1000"), 0, MATCH("count", INDIRECT("'" &amp; B65 &amp; "'.$A$1:$Z$1"), 0))), "")</f>
        <v/>
      </c>
      <c r="E65" s="33" t="str">
        <f aca="true">IF(C65&lt;&gt;"", SUM(INDEX(INDIRECT("'" &amp; B65 &amp; "'.$A$1:$Z$1000"), 0, MATCH("cost", INDIRECT("'" &amp; B65 &amp; "'.$A$1:$Z$1"), 0))), "")</f>
        <v/>
      </c>
      <c r="F65" s="40" t="str">
        <f aca="true">IF(C65&lt;&gt;"", SUM(INDEX(INDIRECT("'" &amp; B65 &amp; "'.$A$1:$Z$1000"), 0, MATCH("total_assembly_time_min", INDIRECT("'" &amp; B65 &amp; "'.$A$1:$Z$1"), 0)))/60, "")</f>
        <v/>
      </c>
      <c r="G65" s="33" t="str">
        <f aca="false">IF(C65&lt;&gt;"", values!$B$2, "")</f>
        <v/>
      </c>
      <c r="H65" s="33" t="str">
        <f aca="false">IF(C65&lt;&gt;"", F65*G65, "")</f>
        <v/>
      </c>
      <c r="I65" s="33" t="str">
        <f aca="false">IF(C65&lt;&gt;"", H65+E65, "")</f>
        <v/>
      </c>
      <c r="K65" s="33" t="str">
        <f aca="false">IF(C65&lt;&gt;"", L65-I65, "")</f>
        <v/>
      </c>
      <c r="L65" s="33" t="str">
        <f aca="false">IF(C65&lt;&gt;"", I65/(1-J65), "")</f>
        <v/>
      </c>
      <c r="M65" s="33" t="str">
        <f aca="false">IF(C65&lt;&gt;"", values!$A$2, "")</f>
        <v/>
      </c>
      <c r="N65" s="33" t="str">
        <f aca="false">IF(C65&lt;&gt;"", O65-L65, "")</f>
        <v/>
      </c>
      <c r="O65" s="33" t="str">
        <f aca="false">IF(C65&lt;&gt;"", L65/(1-M65), "")</f>
        <v/>
      </c>
    </row>
    <row r="66" customFormat="false" ht="12.8" hidden="false" customHeight="false" outlineLevel="0" collapsed="false">
      <c r="A66" s="1" t="s">
        <v>1086</v>
      </c>
      <c r="B66" s="31" t="s">
        <v>1087</v>
      </c>
      <c r="D66" s="32" t="str">
        <f aca="true">IF(C66&lt;&gt;"", SUM(INDEX(INDIRECT("'" &amp; B66 &amp; "'.$A$1:$Z$1000"), 0, MATCH("count", INDIRECT("'" &amp; B66 &amp; "'.$A$1:$Z$1"), 0))), "")</f>
        <v/>
      </c>
      <c r="E66" s="33" t="str">
        <f aca="true">IF(C66&lt;&gt;"", SUM(INDEX(INDIRECT("'" &amp; B66 &amp; "'.$A$1:$Z$1000"), 0, MATCH("cost", INDIRECT("'" &amp; B66 &amp; "'.$A$1:$Z$1"), 0))), "")</f>
        <v/>
      </c>
      <c r="F66" s="40" t="str">
        <f aca="true">IF(C66&lt;&gt;"", SUM(INDEX(INDIRECT("'" &amp; B66 &amp; "'.$A$1:$Z$1000"), 0, MATCH("total_assembly_time_min", INDIRECT("'" &amp; B66 &amp; "'.$A$1:$Z$1"), 0)))/60, "")</f>
        <v/>
      </c>
      <c r="G66" s="33" t="str">
        <f aca="false">IF(C66&lt;&gt;"", values!$B$2, "")</f>
        <v/>
      </c>
      <c r="H66" s="33" t="str">
        <f aca="false">IF(C66&lt;&gt;"", F66*G66, "")</f>
        <v/>
      </c>
      <c r="I66" s="33" t="str">
        <f aca="false">IF(C66&lt;&gt;"", H66+E66, "")</f>
        <v/>
      </c>
      <c r="K66" s="33" t="str">
        <f aca="false">IF(C66&lt;&gt;"", L66-I66, "")</f>
        <v/>
      </c>
      <c r="L66" s="33" t="str">
        <f aca="false">IF(C66&lt;&gt;"", I66/(1-J66), "")</f>
        <v/>
      </c>
      <c r="M66" s="33" t="str">
        <f aca="false">IF(C66&lt;&gt;"", values!$A$2, "")</f>
        <v/>
      </c>
      <c r="N66" s="33" t="str">
        <f aca="false">IF(C66&lt;&gt;"", O66-L66, "")</f>
        <v/>
      </c>
      <c r="O66" s="33" t="str">
        <f aca="false">IF(C66&lt;&gt;"", L66/(1-M66), "")</f>
        <v/>
      </c>
    </row>
    <row r="67" customFormat="false" ht="12.8" hidden="false" customHeight="false" outlineLevel="0" collapsed="false">
      <c r="A67" s="1" t="s">
        <v>1088</v>
      </c>
      <c r="B67" s="31" t="s">
        <v>1089</v>
      </c>
      <c r="D67" s="32" t="str">
        <f aca="true">IF(C67&lt;&gt;"", SUM(INDEX(INDIRECT("'" &amp; B67 &amp; "'.$A$1:$Z$1000"), 0, MATCH("count", INDIRECT("'" &amp; B67 &amp; "'.$A$1:$Z$1"), 0))), "")</f>
        <v/>
      </c>
      <c r="E67" s="33" t="str">
        <f aca="true">IF(C67&lt;&gt;"", SUM(INDEX(INDIRECT("'" &amp; B67 &amp; "'.$A$1:$Z$1000"), 0, MATCH("cost", INDIRECT("'" &amp; B67 &amp; "'.$A$1:$Z$1"), 0))), "")</f>
        <v/>
      </c>
      <c r="F67" s="40" t="str">
        <f aca="true">IF(C67&lt;&gt;"", SUM(INDEX(INDIRECT("'" &amp; B67 &amp; "'.$A$1:$Z$1000"), 0, MATCH("total_assembly_time_min", INDIRECT("'" &amp; B67 &amp; "'.$A$1:$Z$1"), 0)))/60, "")</f>
        <v/>
      </c>
      <c r="G67" s="33" t="str">
        <f aca="false">IF(C67&lt;&gt;"", values!$B$2, "")</f>
        <v/>
      </c>
      <c r="H67" s="33" t="str">
        <f aca="false">IF(C67&lt;&gt;"", F67*G67, "")</f>
        <v/>
      </c>
      <c r="I67" s="33" t="str">
        <f aca="false">IF(C67&lt;&gt;"", H67+E67, "")</f>
        <v/>
      </c>
      <c r="K67" s="33" t="str">
        <f aca="false">IF(C67&lt;&gt;"", L67-I67, "")</f>
        <v/>
      </c>
      <c r="L67" s="33" t="str">
        <f aca="false">IF(C67&lt;&gt;"", I67/(1-J67), "")</f>
        <v/>
      </c>
      <c r="M67" s="33" t="str">
        <f aca="false">IF(C67&lt;&gt;"", values!$A$2, "")</f>
        <v/>
      </c>
      <c r="N67" s="33" t="str">
        <f aca="false">IF(C67&lt;&gt;"", O67-L67, "")</f>
        <v/>
      </c>
      <c r="O67" s="33" t="str">
        <f aca="false">IF(C67&lt;&gt;"", L67/(1-M67), "")</f>
        <v/>
      </c>
    </row>
    <row r="68" customFormat="false" ht="12.8" hidden="false" customHeight="false" outlineLevel="0" collapsed="false">
      <c r="A68" s="1" t="s">
        <v>1090</v>
      </c>
      <c r="B68" s="31" t="s">
        <v>1091</v>
      </c>
      <c r="D68" s="32" t="str">
        <f aca="true">IF(C68&lt;&gt;"", SUM(INDEX(INDIRECT("'" &amp; B68 &amp; "'.$A$1:$Z$1000"), 0, MATCH("count", INDIRECT("'" &amp; B68 &amp; "'.$A$1:$Z$1"), 0))), "")</f>
        <v/>
      </c>
      <c r="E68" s="33" t="str">
        <f aca="true">IF(C68&lt;&gt;"", SUM(INDEX(INDIRECT("'" &amp; B68 &amp; "'.$A$1:$Z$1000"), 0, MATCH("cost", INDIRECT("'" &amp; B68 &amp; "'.$A$1:$Z$1"), 0))), "")</f>
        <v/>
      </c>
      <c r="F68" s="40" t="str">
        <f aca="true">IF(C68&lt;&gt;"", SUM(INDEX(INDIRECT("'" &amp; B68 &amp; "'.$A$1:$Z$1000"), 0, MATCH("total_assembly_time_min", INDIRECT("'" &amp; B68 &amp; "'.$A$1:$Z$1"), 0)))/60, "")</f>
        <v/>
      </c>
      <c r="G68" s="33" t="str">
        <f aca="false">IF(C68&lt;&gt;"", values!$B$2, "")</f>
        <v/>
      </c>
      <c r="H68" s="33" t="str">
        <f aca="false">IF(C68&lt;&gt;"", F68*G68, "")</f>
        <v/>
      </c>
      <c r="I68" s="33" t="str">
        <f aca="false">IF(C68&lt;&gt;"", H68+E68, "")</f>
        <v/>
      </c>
      <c r="K68" s="33" t="str">
        <f aca="false">IF(C68&lt;&gt;"", L68-I68, "")</f>
        <v/>
      </c>
      <c r="L68" s="33" t="str">
        <f aca="false">IF(C68&lt;&gt;"", I68/(1-J68), "")</f>
        <v/>
      </c>
      <c r="M68" s="33" t="str">
        <f aca="false">IF(C68&lt;&gt;"", values!$A$2, "")</f>
        <v/>
      </c>
      <c r="N68" s="33" t="str">
        <f aca="false">IF(C68&lt;&gt;"", O68-L68, "")</f>
        <v/>
      </c>
      <c r="O68" s="33" t="str">
        <f aca="false">IF(C68&lt;&gt;"", L68/(1-M68), "")</f>
        <v/>
      </c>
    </row>
    <row r="69" customFormat="false" ht="12.8" hidden="false" customHeight="false" outlineLevel="0" collapsed="false">
      <c r="A69" s="1" t="s">
        <v>1092</v>
      </c>
      <c r="B69" s="31" t="s">
        <v>1093</v>
      </c>
      <c r="D69" s="32" t="str">
        <f aca="true">IF(C69&lt;&gt;"", SUM(INDEX(INDIRECT("'" &amp; B69 &amp; "'.$A$1:$Z$1000"), 0, MATCH("count", INDIRECT("'" &amp; B69 &amp; "'.$A$1:$Z$1"), 0))), "")</f>
        <v/>
      </c>
      <c r="E69" s="33" t="str">
        <f aca="true">IF(C69&lt;&gt;"", SUM(INDEX(INDIRECT("'" &amp; B69 &amp; "'.$A$1:$Z$1000"), 0, MATCH("cost", INDIRECT("'" &amp; B69 &amp; "'.$A$1:$Z$1"), 0))), "")</f>
        <v/>
      </c>
      <c r="F69" s="40" t="str">
        <f aca="true">IF(C69&lt;&gt;"", SUM(INDEX(INDIRECT("'" &amp; B69 &amp; "'.$A$1:$Z$1000"), 0, MATCH("total_assembly_time_min", INDIRECT("'" &amp; B69 &amp; "'.$A$1:$Z$1"), 0)))/60, "")</f>
        <v/>
      </c>
      <c r="G69" s="33" t="str">
        <f aca="false">IF(C69&lt;&gt;"", values!$B$2, "")</f>
        <v/>
      </c>
      <c r="H69" s="33" t="str">
        <f aca="false">IF(C69&lt;&gt;"", F69*G69, "")</f>
        <v/>
      </c>
      <c r="I69" s="33" t="str">
        <f aca="false">IF(C69&lt;&gt;"", H69+E69, "")</f>
        <v/>
      </c>
      <c r="K69" s="33" t="str">
        <f aca="false">IF(C69&lt;&gt;"", L69-I69, "")</f>
        <v/>
      </c>
      <c r="L69" s="33" t="str">
        <f aca="false">IF(C69&lt;&gt;"", I69/(1-J69), "")</f>
        <v/>
      </c>
      <c r="M69" s="33" t="str">
        <f aca="false">IF(C69&lt;&gt;"", values!$A$2, "")</f>
        <v/>
      </c>
      <c r="N69" s="33" t="str">
        <f aca="false">IF(C69&lt;&gt;"", O69-L69, "")</f>
        <v/>
      </c>
      <c r="O69" s="33" t="str">
        <f aca="false">IF(C69&lt;&gt;"", L69/(1-M69), "")</f>
        <v/>
      </c>
    </row>
    <row r="70" customFormat="false" ht="12.8" hidden="false" customHeight="false" outlineLevel="0" collapsed="false">
      <c r="A70" s="1" t="s">
        <v>1094</v>
      </c>
      <c r="B70" s="31" t="s">
        <v>1095</v>
      </c>
      <c r="D70" s="32" t="str">
        <f aca="true">IF(C70&lt;&gt;"", SUM(INDEX(INDIRECT("'" &amp; B70 &amp; "'.$A$1:$Z$1000"), 0, MATCH("count", INDIRECT("'" &amp; B70 &amp; "'.$A$1:$Z$1"), 0))), "")</f>
        <v/>
      </c>
      <c r="E70" s="33" t="str">
        <f aca="true">IF(C70&lt;&gt;"", SUM(INDEX(INDIRECT("'" &amp; B70 &amp; "'.$A$1:$Z$1000"), 0, MATCH("cost", INDIRECT("'" &amp; B70 &amp; "'.$A$1:$Z$1"), 0))), "")</f>
        <v/>
      </c>
      <c r="F70" s="40" t="str">
        <f aca="true">IF(C70&lt;&gt;"", SUM(INDEX(INDIRECT("'" &amp; B70 &amp; "'.$A$1:$Z$1000"), 0, MATCH("total_assembly_time_min", INDIRECT("'" &amp; B70 &amp; "'.$A$1:$Z$1"), 0)))/60, "")</f>
        <v/>
      </c>
      <c r="G70" s="33" t="str">
        <f aca="false">IF(C70&lt;&gt;"", values!$B$2, "")</f>
        <v/>
      </c>
      <c r="H70" s="33" t="str">
        <f aca="false">IF(C70&lt;&gt;"", F70*G70, "")</f>
        <v/>
      </c>
      <c r="I70" s="33" t="str">
        <f aca="false">IF(C70&lt;&gt;"", H70+E70, "")</f>
        <v/>
      </c>
      <c r="K70" s="33" t="str">
        <f aca="false">IF(C70&lt;&gt;"", L70-I70, "")</f>
        <v/>
      </c>
      <c r="L70" s="33" t="str">
        <f aca="false">IF(C70&lt;&gt;"", I70/(1-J70), "")</f>
        <v/>
      </c>
      <c r="M70" s="33" t="str">
        <f aca="false">IF(C70&lt;&gt;"", values!$A$2, "")</f>
        <v/>
      </c>
      <c r="N70" s="33" t="str">
        <f aca="false">IF(C70&lt;&gt;"", O70-L70, "")</f>
        <v/>
      </c>
      <c r="O70" s="33" t="str">
        <f aca="false">IF(C70&lt;&gt;"", L70/(1-M70), "")</f>
        <v/>
      </c>
    </row>
    <row r="71" customFormat="false" ht="12.8" hidden="false" customHeight="false" outlineLevel="0" collapsed="false">
      <c r="A71" s="1" t="s">
        <v>1096</v>
      </c>
      <c r="B71" s="31" t="s">
        <v>1097</v>
      </c>
      <c r="D71" s="32" t="str">
        <f aca="true">IF(C71&lt;&gt;"", SUM(INDEX(INDIRECT("'" &amp; B71 &amp; "'.$A$1:$Z$1000"), 0, MATCH("count", INDIRECT("'" &amp; B71 &amp; "'.$A$1:$Z$1"), 0))), "")</f>
        <v/>
      </c>
      <c r="E71" s="33" t="str">
        <f aca="true">IF(C71&lt;&gt;"", SUM(INDEX(INDIRECT("'" &amp; B71 &amp; "'.$A$1:$Z$1000"), 0, MATCH("cost", INDIRECT("'" &amp; B71 &amp; "'.$A$1:$Z$1"), 0))), "")</f>
        <v/>
      </c>
      <c r="F71" s="40" t="str">
        <f aca="true">IF(C71&lt;&gt;"", SUM(INDEX(INDIRECT("'" &amp; B71 &amp; "'.$A$1:$Z$1000"), 0, MATCH("total_assembly_time_min", INDIRECT("'" &amp; B71 &amp; "'.$A$1:$Z$1"), 0)))/60, "")</f>
        <v/>
      </c>
      <c r="G71" s="33" t="str">
        <f aca="false">IF(C71&lt;&gt;"", values!$B$2, "")</f>
        <v/>
      </c>
      <c r="H71" s="33" t="str">
        <f aca="false">IF(C71&lt;&gt;"", F71*G71, "")</f>
        <v/>
      </c>
      <c r="I71" s="33" t="str">
        <f aca="false">IF(C71&lt;&gt;"", H71+E71, "")</f>
        <v/>
      </c>
      <c r="K71" s="33" t="str">
        <f aca="false">IF(C71&lt;&gt;"", L71-I71, "")</f>
        <v/>
      </c>
      <c r="L71" s="33" t="str">
        <f aca="false">IF(C71&lt;&gt;"", I71/(1-J71), "")</f>
        <v/>
      </c>
      <c r="M71" s="33" t="str">
        <f aca="false">IF(C71&lt;&gt;"", values!$A$2, "")</f>
        <v/>
      </c>
      <c r="N71" s="33" t="str">
        <f aca="false">IF(C71&lt;&gt;"", O71-L71, "")</f>
        <v/>
      </c>
      <c r="O71" s="33" t="str">
        <f aca="false">IF(C71&lt;&gt;"", L71/(1-M71), "")</f>
        <v/>
      </c>
    </row>
    <row r="72" customFormat="false" ht="12.8" hidden="false" customHeight="false" outlineLevel="0" collapsed="false">
      <c r="A72" s="1" t="s">
        <v>1098</v>
      </c>
      <c r="B72" s="31" t="s">
        <v>1099</v>
      </c>
      <c r="D72" s="32" t="str">
        <f aca="true">IF(C72&lt;&gt;"", SUM(INDEX(INDIRECT("'" &amp; B72 &amp; "'.$A$1:$Z$1000"), 0, MATCH("count", INDIRECT("'" &amp; B72 &amp; "'.$A$1:$Z$1"), 0))), "")</f>
        <v/>
      </c>
      <c r="E72" s="33" t="str">
        <f aca="true">IF(C72&lt;&gt;"", SUM(INDEX(INDIRECT("'" &amp; B72 &amp; "'.$A$1:$Z$1000"), 0, MATCH("cost", INDIRECT("'" &amp; B72 &amp; "'.$A$1:$Z$1"), 0))), "")</f>
        <v/>
      </c>
      <c r="F72" s="40" t="str">
        <f aca="true">IF(C72&lt;&gt;"", SUM(INDEX(INDIRECT("'" &amp; B72 &amp; "'.$A$1:$Z$1000"), 0, MATCH("total_assembly_time_min", INDIRECT("'" &amp; B72 &amp; "'.$A$1:$Z$1"), 0)))/60, "")</f>
        <v/>
      </c>
      <c r="G72" s="33" t="str">
        <f aca="false">IF(C72&lt;&gt;"", values!$B$2, "")</f>
        <v/>
      </c>
      <c r="H72" s="33" t="str">
        <f aca="false">IF(C72&lt;&gt;"", F72*G72, "")</f>
        <v/>
      </c>
      <c r="I72" s="33" t="str">
        <f aca="false">IF(C72&lt;&gt;"", H72+E72, "")</f>
        <v/>
      </c>
      <c r="K72" s="33" t="str">
        <f aca="false">IF(C72&lt;&gt;"", L72-I72, "")</f>
        <v/>
      </c>
      <c r="L72" s="33" t="str">
        <f aca="false">IF(C72&lt;&gt;"", I72/(1-J72), "")</f>
        <v/>
      </c>
      <c r="M72" s="33" t="str">
        <f aca="false">IF(C72&lt;&gt;"", values!$A$2, "")</f>
        <v/>
      </c>
      <c r="N72" s="33" t="str">
        <f aca="false">IF(C72&lt;&gt;"", O72-L72, "")</f>
        <v/>
      </c>
      <c r="O72" s="33" t="str">
        <f aca="false">IF(C72&lt;&gt;"", L72/(1-M72), "")</f>
        <v/>
      </c>
    </row>
    <row r="73" customFormat="false" ht="12.8" hidden="false" customHeight="false" outlineLevel="0" collapsed="false">
      <c r="A73" s="1" t="s">
        <v>1100</v>
      </c>
      <c r="B73" s="31" t="s">
        <v>1101</v>
      </c>
      <c r="D73" s="32" t="str">
        <f aca="true">IF(C73&lt;&gt;"", SUM(INDEX(INDIRECT("'" &amp; B73 &amp; "'.$A$1:$Z$1000"), 0, MATCH("count", INDIRECT("'" &amp; B73 &amp; "'.$A$1:$Z$1"), 0))), "")</f>
        <v/>
      </c>
      <c r="E73" s="33" t="str">
        <f aca="true">IF(C73&lt;&gt;"", SUM(INDEX(INDIRECT("'" &amp; B73 &amp; "'.$A$1:$Z$1000"), 0, MATCH("cost", INDIRECT("'" &amp; B73 &amp; "'.$A$1:$Z$1"), 0))), "")</f>
        <v/>
      </c>
      <c r="F73" s="40" t="str">
        <f aca="true">IF(C73&lt;&gt;"", SUM(INDEX(INDIRECT("'" &amp; B73 &amp; "'.$A$1:$Z$1000"), 0, MATCH("total_assembly_time_min", INDIRECT("'" &amp; B73 &amp; "'.$A$1:$Z$1"), 0)))/60, "")</f>
        <v/>
      </c>
      <c r="G73" s="33" t="str">
        <f aca="false">IF(C73&lt;&gt;"", values!$B$2, "")</f>
        <v/>
      </c>
      <c r="H73" s="33" t="str">
        <f aca="false">IF(C73&lt;&gt;"", F73*G73, "")</f>
        <v/>
      </c>
      <c r="I73" s="33" t="str">
        <f aca="false">IF(C73&lt;&gt;"", H73+E73, "")</f>
        <v/>
      </c>
      <c r="K73" s="33" t="str">
        <f aca="false">IF(C73&lt;&gt;"", L73-I73, "")</f>
        <v/>
      </c>
      <c r="L73" s="33" t="str">
        <f aca="false">IF(C73&lt;&gt;"", I73/(1-J73), "")</f>
        <v/>
      </c>
      <c r="M73" s="33" t="str">
        <f aca="false">IF(C73&lt;&gt;"", values!$A$2, "")</f>
        <v/>
      </c>
      <c r="N73" s="33" t="str">
        <f aca="false">IF(C73&lt;&gt;"", O73-L73, "")</f>
        <v/>
      </c>
      <c r="O73" s="33" t="str">
        <f aca="false">IF(C73&lt;&gt;"", L73/(1-M73), "")</f>
        <v/>
      </c>
    </row>
    <row r="74" customFormat="false" ht="12.8" hidden="false" customHeight="false" outlineLevel="0" collapsed="false">
      <c r="A74" s="1" t="s">
        <v>1102</v>
      </c>
      <c r="B74" s="31" t="s">
        <v>1103</v>
      </c>
      <c r="D74" s="32" t="str">
        <f aca="true">IF(C74&lt;&gt;"", SUM(INDEX(INDIRECT("'" &amp; B74 &amp; "'.$A$1:$Z$1000"), 0, MATCH("count", INDIRECT("'" &amp; B74 &amp; "'.$A$1:$Z$1"), 0))), "")</f>
        <v/>
      </c>
      <c r="E74" s="33" t="str">
        <f aca="true">IF(C74&lt;&gt;"", SUM(INDEX(INDIRECT("'" &amp; B74 &amp; "'.$A$1:$Z$1000"), 0, MATCH("cost", INDIRECT("'" &amp; B74 &amp; "'.$A$1:$Z$1"), 0))), "")</f>
        <v/>
      </c>
      <c r="F74" s="40" t="str">
        <f aca="true">IF(C74&lt;&gt;"", SUM(INDEX(INDIRECT("'" &amp; B74 &amp; "'.$A$1:$Z$1000"), 0, MATCH("total_assembly_time_min", INDIRECT("'" &amp; B74 &amp; "'.$A$1:$Z$1"), 0)))/60, "")</f>
        <v/>
      </c>
      <c r="G74" s="33" t="str">
        <f aca="false">IF(C74&lt;&gt;"", values!$B$2, "")</f>
        <v/>
      </c>
      <c r="H74" s="33" t="str">
        <f aca="false">IF(C74&lt;&gt;"", F74*G74, "")</f>
        <v/>
      </c>
      <c r="I74" s="33" t="str">
        <f aca="false">IF(C74&lt;&gt;"", H74+E74, "")</f>
        <v/>
      </c>
      <c r="K74" s="33" t="str">
        <f aca="false">IF(C74&lt;&gt;"", L74-I74, "")</f>
        <v/>
      </c>
      <c r="L74" s="33" t="str">
        <f aca="false">IF(C74&lt;&gt;"", I74/(1-J74), "")</f>
        <v/>
      </c>
      <c r="M74" s="33" t="str">
        <f aca="false">IF(C74&lt;&gt;"", values!$A$2, "")</f>
        <v/>
      </c>
      <c r="N74" s="33" t="str">
        <f aca="false">IF(C74&lt;&gt;"", O74-L74, "")</f>
        <v/>
      </c>
      <c r="O74" s="33" t="str">
        <f aca="false">IF(C74&lt;&gt;"", L74/(1-M74), "")</f>
        <v/>
      </c>
    </row>
    <row r="75" customFormat="false" ht="12.8" hidden="false" customHeight="false" outlineLevel="0" collapsed="false">
      <c r="A75" s="1" t="s">
        <v>1104</v>
      </c>
      <c r="B75" s="31" t="s">
        <v>1105</v>
      </c>
      <c r="D75" s="32" t="str">
        <f aca="true">IF(C75&lt;&gt;"", SUM(INDEX(INDIRECT("'" &amp; B75 &amp; "'.$A$1:$Z$1000"), 0, MATCH("count", INDIRECT("'" &amp; B75 &amp; "'.$A$1:$Z$1"), 0))), "")</f>
        <v/>
      </c>
      <c r="E75" s="33" t="str">
        <f aca="true">IF(C75&lt;&gt;"", SUM(INDEX(INDIRECT("'" &amp; B75 &amp; "'.$A$1:$Z$1000"), 0, MATCH("cost", INDIRECT("'" &amp; B75 &amp; "'.$A$1:$Z$1"), 0))), "")</f>
        <v/>
      </c>
      <c r="F75" s="40" t="str">
        <f aca="true">IF(C75&lt;&gt;"", SUM(INDEX(INDIRECT("'" &amp; B75 &amp; "'.$A$1:$Z$1000"), 0, MATCH("total_assembly_time_min", INDIRECT("'" &amp; B75 &amp; "'.$A$1:$Z$1"), 0)))/60, "")</f>
        <v/>
      </c>
      <c r="G75" s="33" t="str">
        <f aca="false">IF(C75&lt;&gt;"", values!$B$2, "")</f>
        <v/>
      </c>
      <c r="H75" s="33" t="str">
        <f aca="false">IF(C75&lt;&gt;"", F75*G75, "")</f>
        <v/>
      </c>
      <c r="I75" s="33" t="str">
        <f aca="false">IF(C75&lt;&gt;"", H75+E75, "")</f>
        <v/>
      </c>
      <c r="K75" s="33" t="str">
        <f aca="false">IF(C75&lt;&gt;"", L75-I75, "")</f>
        <v/>
      </c>
      <c r="L75" s="33" t="str">
        <f aca="false">IF(C75&lt;&gt;"", I75/(1-J75), "")</f>
        <v/>
      </c>
      <c r="M75" s="33" t="str">
        <f aca="false">IF(C75&lt;&gt;"", values!$A$2, "")</f>
        <v/>
      </c>
      <c r="N75" s="33" t="str">
        <f aca="false">IF(C75&lt;&gt;"", O75-L75, "")</f>
        <v/>
      </c>
      <c r="O75" s="33" t="str">
        <f aca="false">IF(C75&lt;&gt;"", L75/(1-M75), "")</f>
        <v/>
      </c>
    </row>
    <row r="76" customFormat="false" ht="12.8" hidden="false" customHeight="false" outlineLevel="0" collapsed="false">
      <c r="A76" s="1" t="s">
        <v>1106</v>
      </c>
      <c r="B76" s="31" t="s">
        <v>1107</v>
      </c>
      <c r="D76" s="32" t="str">
        <f aca="true">IF(C76&lt;&gt;"", SUM(INDEX(INDIRECT("'" &amp; B76 &amp; "'.$A$1:$Z$1000"), 0, MATCH("count", INDIRECT("'" &amp; B76 &amp; "'.$A$1:$Z$1"), 0))), "")</f>
        <v/>
      </c>
      <c r="E76" s="33" t="str">
        <f aca="true">IF(C76&lt;&gt;"", SUM(INDEX(INDIRECT("'" &amp; B76 &amp; "'.$A$1:$Z$1000"), 0, MATCH("cost", INDIRECT("'" &amp; B76 &amp; "'.$A$1:$Z$1"), 0))), "")</f>
        <v/>
      </c>
      <c r="F76" s="40" t="str">
        <f aca="true">IF(C76&lt;&gt;"", SUM(INDEX(INDIRECT("'" &amp; B76 &amp; "'.$A$1:$Z$1000"), 0, MATCH("total_assembly_time_min", INDIRECT("'" &amp; B76 &amp; "'.$A$1:$Z$1"), 0)))/60, "")</f>
        <v/>
      </c>
      <c r="G76" s="33" t="str">
        <f aca="false">IF(C76&lt;&gt;"", values!$B$2, "")</f>
        <v/>
      </c>
      <c r="H76" s="33" t="str">
        <f aca="false">IF(C76&lt;&gt;"", F76*G76, "")</f>
        <v/>
      </c>
      <c r="I76" s="33" t="str">
        <f aca="false">IF(C76&lt;&gt;"", H76+E76, "")</f>
        <v/>
      </c>
      <c r="K76" s="33" t="str">
        <f aca="false">IF(C76&lt;&gt;"", L76-I76, "")</f>
        <v/>
      </c>
      <c r="L76" s="33" t="str">
        <f aca="false">IF(C76&lt;&gt;"", I76/(1-J76), "")</f>
        <v/>
      </c>
      <c r="M76" s="33" t="str">
        <f aca="false">IF(C76&lt;&gt;"", values!$A$2, "")</f>
        <v/>
      </c>
      <c r="N76" s="33" t="str">
        <f aca="false">IF(C76&lt;&gt;"", O76-L76, "")</f>
        <v/>
      </c>
      <c r="O76" s="33" t="str">
        <f aca="false">IF(C76&lt;&gt;"", L76/(1-M76), "")</f>
        <v/>
      </c>
    </row>
    <row r="77" customFormat="false" ht="12.8" hidden="false" customHeight="false" outlineLevel="0" collapsed="false">
      <c r="A77" s="1" t="s">
        <v>1108</v>
      </c>
      <c r="B77" s="31" t="s">
        <v>1109</v>
      </c>
      <c r="D77" s="32" t="str">
        <f aca="true">IF(C77&lt;&gt;"", SUM(INDEX(INDIRECT("'" &amp; B77 &amp; "'.$A$1:$Z$1000"), 0, MATCH("count", INDIRECT("'" &amp; B77 &amp; "'.$A$1:$Z$1"), 0))), "")</f>
        <v/>
      </c>
      <c r="E77" s="33" t="str">
        <f aca="true">IF(C77&lt;&gt;"", SUM(INDEX(INDIRECT("'" &amp; B77 &amp; "'.$A$1:$Z$1000"), 0, MATCH("cost", INDIRECT("'" &amp; B77 &amp; "'.$A$1:$Z$1"), 0))), "")</f>
        <v/>
      </c>
      <c r="F77" s="40" t="str">
        <f aca="true">IF(C77&lt;&gt;"", SUM(INDEX(INDIRECT("'" &amp; B77 &amp; "'.$A$1:$Z$1000"), 0, MATCH("total_assembly_time_min", INDIRECT("'" &amp; B77 &amp; "'.$A$1:$Z$1"), 0)))/60, "")</f>
        <v/>
      </c>
      <c r="G77" s="33" t="str">
        <f aca="false">IF(C77&lt;&gt;"", values!$B$2, "")</f>
        <v/>
      </c>
      <c r="H77" s="33" t="str">
        <f aca="false">IF(C77&lt;&gt;"", F77*G77, "")</f>
        <v/>
      </c>
      <c r="I77" s="33" t="str">
        <f aca="false">IF(C77&lt;&gt;"", H77+E77, "")</f>
        <v/>
      </c>
      <c r="K77" s="33" t="str">
        <f aca="false">IF(C77&lt;&gt;"", L77-I77, "")</f>
        <v/>
      </c>
      <c r="L77" s="33" t="str">
        <f aca="false">IF(C77&lt;&gt;"", I77/(1-J77), "")</f>
        <v/>
      </c>
      <c r="M77" s="33" t="str">
        <f aca="false">IF(C77&lt;&gt;"", values!$A$2, "")</f>
        <v/>
      </c>
      <c r="N77" s="33" t="str">
        <f aca="false">IF(C77&lt;&gt;"", O77-L77, "")</f>
        <v/>
      </c>
      <c r="O77" s="33" t="str">
        <f aca="false">IF(C77&lt;&gt;"", L77/(1-M77), "")</f>
        <v/>
      </c>
    </row>
    <row r="78" customFormat="false" ht="12.8" hidden="false" customHeight="false" outlineLevel="0" collapsed="false">
      <c r="A78" s="1" t="s">
        <v>1110</v>
      </c>
      <c r="B78" s="31" t="s">
        <v>1111</v>
      </c>
      <c r="D78" s="32" t="str">
        <f aca="true">IF(C78&lt;&gt;"", SUM(INDEX(INDIRECT("'" &amp; B78 &amp; "'.$A$1:$Z$1000"), 0, MATCH("count", INDIRECT("'" &amp; B78 &amp; "'.$A$1:$Z$1"), 0))), "")</f>
        <v/>
      </c>
      <c r="E78" s="33" t="str">
        <f aca="true">IF(C78&lt;&gt;"", SUM(INDEX(INDIRECT("'" &amp; B78 &amp; "'.$A$1:$Z$1000"), 0, MATCH("cost", INDIRECT("'" &amp; B78 &amp; "'.$A$1:$Z$1"), 0))), "")</f>
        <v/>
      </c>
      <c r="F78" s="40" t="str">
        <f aca="true">IF(C78&lt;&gt;"", SUM(INDEX(INDIRECT("'" &amp; B78 &amp; "'.$A$1:$Z$1000"), 0, MATCH("total_assembly_time_min", INDIRECT("'" &amp; B78 &amp; "'.$A$1:$Z$1"), 0)))/60, "")</f>
        <v/>
      </c>
      <c r="G78" s="33" t="str">
        <f aca="false">IF(C78&lt;&gt;"", values!$B$2, "")</f>
        <v/>
      </c>
      <c r="H78" s="33" t="str">
        <f aca="false">IF(C78&lt;&gt;"", F78*G78, "")</f>
        <v/>
      </c>
      <c r="I78" s="33" t="str">
        <f aca="false">IF(C78&lt;&gt;"", H78+E78, "")</f>
        <v/>
      </c>
      <c r="K78" s="33" t="str">
        <f aca="false">IF(C78&lt;&gt;"", L78-I78, "")</f>
        <v/>
      </c>
      <c r="L78" s="33" t="str">
        <f aca="false">IF(C78&lt;&gt;"", I78/(1-J78), "")</f>
        <v/>
      </c>
      <c r="M78" s="33" t="str">
        <f aca="false">IF(C78&lt;&gt;"", values!$A$2, "")</f>
        <v/>
      </c>
      <c r="N78" s="33" t="str">
        <f aca="false">IF(C78&lt;&gt;"", O78-L78, "")</f>
        <v/>
      </c>
      <c r="O78" s="33" t="str">
        <f aca="false">IF(C78&lt;&gt;"", L78/(1-M78), "")</f>
        <v/>
      </c>
    </row>
    <row r="79" customFormat="false" ht="12.8" hidden="false" customHeight="false" outlineLevel="0" collapsed="false">
      <c r="A79" s="1" t="s">
        <v>1112</v>
      </c>
      <c r="B79" s="31" t="s">
        <v>1113</v>
      </c>
      <c r="D79" s="32" t="str">
        <f aca="true">IF(C79&lt;&gt;"", SUM(INDEX(INDIRECT("'" &amp; B79 &amp; "'.$A$1:$Z$1000"), 0, MATCH("count", INDIRECT("'" &amp; B79 &amp; "'.$A$1:$Z$1"), 0))), "")</f>
        <v/>
      </c>
      <c r="E79" s="33" t="str">
        <f aca="true">IF(C79&lt;&gt;"", SUM(INDEX(INDIRECT("'" &amp; B79 &amp; "'.$A$1:$Z$1000"), 0, MATCH("cost", INDIRECT("'" &amp; B79 &amp; "'.$A$1:$Z$1"), 0))), "")</f>
        <v/>
      </c>
      <c r="F79" s="40" t="str">
        <f aca="true">IF(C79&lt;&gt;"", SUM(INDEX(INDIRECT("'" &amp; B79 &amp; "'.$A$1:$Z$1000"), 0, MATCH("total_assembly_time_min", INDIRECT("'" &amp; B79 &amp; "'.$A$1:$Z$1"), 0)))/60, "")</f>
        <v/>
      </c>
      <c r="G79" s="33" t="str">
        <f aca="false">IF(C79&lt;&gt;"", values!$B$2, "")</f>
        <v/>
      </c>
      <c r="H79" s="33" t="str">
        <f aca="false">IF(C79&lt;&gt;"", F79*G79, "")</f>
        <v/>
      </c>
      <c r="I79" s="33" t="str">
        <f aca="false">IF(C79&lt;&gt;"", H79+E79, "")</f>
        <v/>
      </c>
      <c r="K79" s="33" t="str">
        <f aca="false">IF(C79&lt;&gt;"", L79-I79, "")</f>
        <v/>
      </c>
      <c r="L79" s="33" t="str">
        <f aca="false">IF(C79&lt;&gt;"", I79/(1-J79), "")</f>
        <v/>
      </c>
      <c r="M79" s="33" t="str">
        <f aca="false">IF(C79&lt;&gt;"", values!$A$2, "")</f>
        <v/>
      </c>
      <c r="N79" s="33" t="str">
        <f aca="false">IF(C79&lt;&gt;"", O79-L79, "")</f>
        <v/>
      </c>
      <c r="O79" s="33" t="str">
        <f aca="false">IF(C79&lt;&gt;"", L79/(1-M79), "")</f>
        <v/>
      </c>
    </row>
    <row r="80" customFormat="false" ht="12.8" hidden="false" customHeight="false" outlineLevel="0" collapsed="false">
      <c r="A80" s="1" t="s">
        <v>1114</v>
      </c>
      <c r="B80" s="31" t="s">
        <v>1115</v>
      </c>
      <c r="D80" s="32" t="str">
        <f aca="true">IF(C80&lt;&gt;"", SUM(INDEX(INDIRECT("'" &amp; B80 &amp; "'.$A$1:$Z$1000"), 0, MATCH("count", INDIRECT("'" &amp; B80 &amp; "'.$A$1:$Z$1"), 0))), "")</f>
        <v/>
      </c>
      <c r="E80" s="33" t="str">
        <f aca="true">IF(C80&lt;&gt;"", SUM(INDEX(INDIRECT("'" &amp; B80 &amp; "'.$A$1:$Z$1000"), 0, MATCH("cost", INDIRECT("'" &amp; B80 &amp; "'.$A$1:$Z$1"), 0))), "")</f>
        <v/>
      </c>
      <c r="F80" s="40" t="str">
        <f aca="true">IF(C80&lt;&gt;"", SUM(INDEX(INDIRECT("'" &amp; B80 &amp; "'.$A$1:$Z$1000"), 0, MATCH("total_assembly_time_min", INDIRECT("'" &amp; B80 &amp; "'.$A$1:$Z$1"), 0)))/60, "")</f>
        <v/>
      </c>
      <c r="G80" s="33" t="str">
        <f aca="false">IF(C80&lt;&gt;"", values!$B$2, "")</f>
        <v/>
      </c>
      <c r="H80" s="33" t="str">
        <f aca="false">IF(C80&lt;&gt;"", F80*G80, "")</f>
        <v/>
      </c>
      <c r="I80" s="33" t="str">
        <f aca="false">IF(C80&lt;&gt;"", H80+E80, "")</f>
        <v/>
      </c>
      <c r="K80" s="33" t="str">
        <f aca="false">IF(C80&lt;&gt;"", L80-I80, "")</f>
        <v/>
      </c>
      <c r="L80" s="33" t="str">
        <f aca="false">IF(C80&lt;&gt;"", I80/(1-J80), "")</f>
        <v/>
      </c>
      <c r="M80" s="33" t="str">
        <f aca="false">IF(C80&lt;&gt;"", values!$A$2, "")</f>
        <v/>
      </c>
      <c r="N80" s="33" t="str">
        <f aca="false">IF(C80&lt;&gt;"", O80-L80, "")</f>
        <v/>
      </c>
      <c r="O80" s="33" t="str">
        <f aca="false">IF(C80&lt;&gt;"", L80/(1-M80), "")</f>
        <v/>
      </c>
    </row>
    <row r="81" customFormat="false" ht="12.8" hidden="false" customHeight="false" outlineLevel="0" collapsed="false">
      <c r="A81" s="1" t="s">
        <v>1116</v>
      </c>
      <c r="B81" s="31" t="s">
        <v>1117</v>
      </c>
      <c r="D81" s="32" t="str">
        <f aca="true">IF(C81&lt;&gt;"", SUM(INDEX(INDIRECT("'" &amp; B81 &amp; "'.$A$1:$Z$1000"), 0, MATCH("count", INDIRECT("'" &amp; B81 &amp; "'.$A$1:$Z$1"), 0))), "")</f>
        <v/>
      </c>
      <c r="E81" s="33" t="str">
        <f aca="true">IF(C81&lt;&gt;"", SUM(INDEX(INDIRECT("'" &amp; B81 &amp; "'.$A$1:$Z$1000"), 0, MATCH("cost", INDIRECT("'" &amp; B81 &amp; "'.$A$1:$Z$1"), 0))), "")</f>
        <v/>
      </c>
      <c r="F81" s="40" t="str">
        <f aca="true">IF(C81&lt;&gt;"", SUM(INDEX(INDIRECT("'" &amp; B81 &amp; "'.$A$1:$Z$1000"), 0, MATCH("total_assembly_time_min", INDIRECT("'" &amp; B81 &amp; "'.$A$1:$Z$1"), 0)))/60, "")</f>
        <v/>
      </c>
      <c r="G81" s="33" t="str">
        <f aca="false">IF(C81&lt;&gt;"", values!$B$2, "")</f>
        <v/>
      </c>
      <c r="H81" s="33" t="str">
        <f aca="false">IF(C81&lt;&gt;"", F81*G81, "")</f>
        <v/>
      </c>
      <c r="I81" s="33" t="str">
        <f aca="false">IF(C81&lt;&gt;"", H81+E81, "")</f>
        <v/>
      </c>
      <c r="K81" s="33" t="str">
        <f aca="false">IF(C81&lt;&gt;"", L81-I81, "")</f>
        <v/>
      </c>
      <c r="L81" s="33" t="str">
        <f aca="false">IF(C81&lt;&gt;"", I81/(1-J81), "")</f>
        <v/>
      </c>
      <c r="M81" s="33" t="str">
        <f aca="false">IF(C81&lt;&gt;"", values!$A$2, "")</f>
        <v/>
      </c>
      <c r="N81" s="33" t="str">
        <f aca="false">IF(C81&lt;&gt;"", O81-L81, "")</f>
        <v/>
      </c>
      <c r="O81" s="33" t="str">
        <f aca="false">IF(C81&lt;&gt;"", L81/(1-M81), "")</f>
        <v/>
      </c>
    </row>
    <row r="82" customFormat="false" ht="12.8" hidden="false" customHeight="false" outlineLevel="0" collapsed="false">
      <c r="A82" s="1" t="s">
        <v>1118</v>
      </c>
      <c r="B82" s="31" t="s">
        <v>1119</v>
      </c>
      <c r="D82" s="32" t="str">
        <f aca="true">IF(C82&lt;&gt;"", SUM(INDEX(INDIRECT("'" &amp; B82 &amp; "'.$A$1:$Z$1000"), 0, MATCH("count", INDIRECT("'" &amp; B82 &amp; "'.$A$1:$Z$1"), 0))), "")</f>
        <v/>
      </c>
      <c r="E82" s="33" t="str">
        <f aca="true">IF(C82&lt;&gt;"", SUM(INDEX(INDIRECT("'" &amp; B82 &amp; "'.$A$1:$Z$1000"), 0, MATCH("cost", INDIRECT("'" &amp; B82 &amp; "'.$A$1:$Z$1"), 0))), "")</f>
        <v/>
      </c>
      <c r="F82" s="40" t="str">
        <f aca="true">IF(C82&lt;&gt;"", SUM(INDEX(INDIRECT("'" &amp; B82 &amp; "'.$A$1:$Z$1000"), 0, MATCH("total_assembly_time_min", INDIRECT("'" &amp; B82 &amp; "'.$A$1:$Z$1"), 0)))/60, "")</f>
        <v/>
      </c>
      <c r="G82" s="33" t="str">
        <f aca="false">IF(C82&lt;&gt;"", values!$B$2, "")</f>
        <v/>
      </c>
      <c r="H82" s="33" t="str">
        <f aca="false">IF(C82&lt;&gt;"", F82*G82, "")</f>
        <v/>
      </c>
      <c r="I82" s="33" t="str">
        <f aca="false">IF(C82&lt;&gt;"", H82+E82, "")</f>
        <v/>
      </c>
      <c r="K82" s="33" t="str">
        <f aca="false">IF(C82&lt;&gt;"", L82-I82, "")</f>
        <v/>
      </c>
      <c r="L82" s="33" t="str">
        <f aca="false">IF(C82&lt;&gt;"", I82/(1-J82), "")</f>
        <v/>
      </c>
      <c r="M82" s="33" t="str">
        <f aca="false">IF(C82&lt;&gt;"", values!$A$2, "")</f>
        <v/>
      </c>
      <c r="N82" s="33" t="str">
        <f aca="false">IF(C82&lt;&gt;"", O82-L82, "")</f>
        <v/>
      </c>
      <c r="O82" s="33" t="str">
        <f aca="false">IF(C82&lt;&gt;"", L82/(1-M82), "")</f>
        <v/>
      </c>
    </row>
    <row r="83" customFormat="false" ht="12.8" hidden="false" customHeight="false" outlineLevel="0" collapsed="false">
      <c r="A83" s="1" t="s">
        <v>1120</v>
      </c>
      <c r="B83" s="31" t="s">
        <v>1121</v>
      </c>
      <c r="D83" s="32" t="str">
        <f aca="true">IF(C83&lt;&gt;"", SUM(INDEX(INDIRECT("'" &amp; B83 &amp; "'.$A$1:$Z$1000"), 0, MATCH("count", INDIRECT("'" &amp; B83 &amp; "'.$A$1:$Z$1"), 0))), "")</f>
        <v/>
      </c>
      <c r="E83" s="33" t="str">
        <f aca="true">IF(C83&lt;&gt;"", SUM(INDEX(INDIRECT("'" &amp; B83 &amp; "'.$A$1:$Z$1000"), 0, MATCH("cost", INDIRECT("'" &amp; B83 &amp; "'.$A$1:$Z$1"), 0))), "")</f>
        <v/>
      </c>
      <c r="F83" s="40" t="str">
        <f aca="true">IF(C83&lt;&gt;"", SUM(INDEX(INDIRECT("'" &amp; B83 &amp; "'.$A$1:$Z$1000"), 0, MATCH("total_assembly_time_min", INDIRECT("'" &amp; B83 &amp; "'.$A$1:$Z$1"), 0)))/60, "")</f>
        <v/>
      </c>
      <c r="G83" s="33" t="str">
        <f aca="false">IF(C83&lt;&gt;"", values!$B$2, "")</f>
        <v/>
      </c>
      <c r="H83" s="33" t="str">
        <f aca="false">IF(C83&lt;&gt;"", F83*G83, "")</f>
        <v/>
      </c>
      <c r="I83" s="33" t="str">
        <f aca="false">IF(C83&lt;&gt;"", H83+E83, "")</f>
        <v/>
      </c>
      <c r="K83" s="33" t="str">
        <f aca="false">IF(C83&lt;&gt;"", L83-I83, "")</f>
        <v/>
      </c>
      <c r="L83" s="33" t="str">
        <f aca="false">IF(C83&lt;&gt;"", I83/(1-J83), "")</f>
        <v/>
      </c>
      <c r="M83" s="33" t="str">
        <f aca="false">IF(C83&lt;&gt;"", values!$A$2, "")</f>
        <v/>
      </c>
      <c r="N83" s="33" t="str">
        <f aca="false">IF(C83&lt;&gt;"", O83-L83, "")</f>
        <v/>
      </c>
      <c r="O83" s="33" t="str">
        <f aca="false">IF(C83&lt;&gt;"", L83/(1-M83), "")</f>
        <v/>
      </c>
    </row>
    <row r="84" customFormat="false" ht="12.8" hidden="false" customHeight="false" outlineLevel="0" collapsed="false">
      <c r="A84" s="1" t="s">
        <v>1122</v>
      </c>
      <c r="B84" s="31" t="s">
        <v>1123</v>
      </c>
      <c r="D84" s="32" t="str">
        <f aca="true">IF(C84&lt;&gt;"", SUM(INDEX(INDIRECT("'" &amp; B84 &amp; "'.$A$1:$Z$1000"), 0, MATCH("count", INDIRECT("'" &amp; B84 &amp; "'.$A$1:$Z$1"), 0))), "")</f>
        <v/>
      </c>
      <c r="E84" s="33" t="str">
        <f aca="true">IF(C84&lt;&gt;"", SUM(INDEX(INDIRECT("'" &amp; B84 &amp; "'.$A$1:$Z$1000"), 0, MATCH("cost", INDIRECT("'" &amp; B84 &amp; "'.$A$1:$Z$1"), 0))), "")</f>
        <v/>
      </c>
      <c r="F84" s="40" t="str">
        <f aca="true">IF(C84&lt;&gt;"", SUM(INDEX(INDIRECT("'" &amp; B84 &amp; "'.$A$1:$Z$1000"), 0, MATCH("total_assembly_time_min", INDIRECT("'" &amp; B84 &amp; "'.$A$1:$Z$1"), 0)))/60, "")</f>
        <v/>
      </c>
      <c r="G84" s="33" t="str">
        <f aca="false">IF(C84&lt;&gt;"", values!$B$2, "")</f>
        <v/>
      </c>
      <c r="H84" s="33" t="str">
        <f aca="false">IF(C84&lt;&gt;"", F84*G84, "")</f>
        <v/>
      </c>
      <c r="I84" s="33" t="str">
        <f aca="false">IF(C84&lt;&gt;"", H84+E84, "")</f>
        <v/>
      </c>
      <c r="K84" s="33" t="str">
        <f aca="false">IF(C84&lt;&gt;"", L84-I84, "")</f>
        <v/>
      </c>
      <c r="L84" s="33" t="str">
        <f aca="false">IF(C84&lt;&gt;"", I84/(1-J84), "")</f>
        <v/>
      </c>
      <c r="M84" s="33" t="str">
        <f aca="false">IF(C84&lt;&gt;"", values!$A$2, "")</f>
        <v/>
      </c>
      <c r="N84" s="33" t="str">
        <f aca="false">IF(C84&lt;&gt;"", O84-L84, "")</f>
        <v/>
      </c>
      <c r="O84" s="33" t="str">
        <f aca="false">IF(C84&lt;&gt;"", L84/(1-M84), "")</f>
        <v/>
      </c>
    </row>
    <row r="85" customFormat="false" ht="12.8" hidden="false" customHeight="false" outlineLevel="0" collapsed="false">
      <c r="A85" s="1" t="s">
        <v>1124</v>
      </c>
      <c r="B85" s="31" t="s">
        <v>1125</v>
      </c>
      <c r="D85" s="32" t="str">
        <f aca="true">IF(C85&lt;&gt;"", SUM(INDEX(INDIRECT("'" &amp; B85 &amp; "'.$A$1:$Z$1000"), 0, MATCH("count", INDIRECT("'" &amp; B85 &amp; "'.$A$1:$Z$1"), 0))), "")</f>
        <v/>
      </c>
      <c r="E85" s="33" t="str">
        <f aca="true">IF(C85&lt;&gt;"", SUM(INDEX(INDIRECT("'" &amp; B85 &amp; "'.$A$1:$Z$1000"), 0, MATCH("cost", INDIRECT("'" &amp; B85 &amp; "'.$A$1:$Z$1"), 0))), "")</f>
        <v/>
      </c>
      <c r="F85" s="40" t="str">
        <f aca="true">IF(C85&lt;&gt;"", SUM(INDEX(INDIRECT("'" &amp; B85 &amp; "'.$A$1:$Z$1000"), 0, MATCH("total_assembly_time_min", INDIRECT("'" &amp; B85 &amp; "'.$A$1:$Z$1"), 0)))/60, "")</f>
        <v/>
      </c>
      <c r="G85" s="33" t="str">
        <f aca="false">IF(C85&lt;&gt;"", values!$B$2, "")</f>
        <v/>
      </c>
      <c r="H85" s="33" t="str">
        <f aca="false">IF(C85&lt;&gt;"", F85*G85, "")</f>
        <v/>
      </c>
      <c r="I85" s="33" t="str">
        <f aca="false">IF(C85&lt;&gt;"", H85+E85, "")</f>
        <v/>
      </c>
      <c r="K85" s="33" t="str">
        <f aca="false">IF(C85&lt;&gt;"", L85-I85, "")</f>
        <v/>
      </c>
      <c r="L85" s="33" t="str">
        <f aca="false">IF(C85&lt;&gt;"", I85/(1-J85), "")</f>
        <v/>
      </c>
      <c r="M85" s="33" t="str">
        <f aca="false">IF(C85&lt;&gt;"", values!$A$2, "")</f>
        <v/>
      </c>
      <c r="N85" s="33" t="str">
        <f aca="false">IF(C85&lt;&gt;"", O85-L85, "")</f>
        <v/>
      </c>
      <c r="O85" s="33" t="str">
        <f aca="false">IF(C85&lt;&gt;"", L85/(1-M85), "")</f>
        <v/>
      </c>
    </row>
    <row r="86" customFormat="false" ht="12.8" hidden="false" customHeight="false" outlineLevel="0" collapsed="false">
      <c r="A86" s="1" t="s">
        <v>1126</v>
      </c>
      <c r="B86" s="31" t="s">
        <v>1127</v>
      </c>
      <c r="D86" s="32" t="str">
        <f aca="true">IF(C86&lt;&gt;"", SUM(INDEX(INDIRECT("'" &amp; B86 &amp; "'.$A$1:$Z$1000"), 0, MATCH("count", INDIRECT("'" &amp; B86 &amp; "'.$A$1:$Z$1"), 0))), "")</f>
        <v/>
      </c>
      <c r="E86" s="33" t="str">
        <f aca="true">IF(C86&lt;&gt;"", SUM(INDEX(INDIRECT("'" &amp; B86 &amp; "'.$A$1:$Z$1000"), 0, MATCH("cost", INDIRECT("'" &amp; B86 &amp; "'.$A$1:$Z$1"), 0))), "")</f>
        <v/>
      </c>
      <c r="F86" s="40" t="str">
        <f aca="true">IF(C86&lt;&gt;"", SUM(INDEX(INDIRECT("'" &amp; B86 &amp; "'.$A$1:$Z$1000"), 0, MATCH("total_assembly_time_min", INDIRECT("'" &amp; B86 &amp; "'.$A$1:$Z$1"), 0)))/60, "")</f>
        <v/>
      </c>
      <c r="G86" s="33" t="str">
        <f aca="false">IF(C86&lt;&gt;"", values!$B$2, "")</f>
        <v/>
      </c>
      <c r="H86" s="33" t="str">
        <f aca="false">IF(C86&lt;&gt;"", F86*G86, "")</f>
        <v/>
      </c>
      <c r="I86" s="33" t="str">
        <f aca="false">IF(C86&lt;&gt;"", H86+E86, "")</f>
        <v/>
      </c>
      <c r="K86" s="33" t="str">
        <f aca="false">IF(C86&lt;&gt;"", L86-I86, "")</f>
        <v/>
      </c>
      <c r="L86" s="33" t="str">
        <f aca="false">IF(C86&lt;&gt;"", I86/(1-J86), "")</f>
        <v/>
      </c>
      <c r="M86" s="33" t="str">
        <f aca="false">IF(C86&lt;&gt;"", values!$A$2, "")</f>
        <v/>
      </c>
      <c r="N86" s="33" t="str">
        <f aca="false">IF(C86&lt;&gt;"", O86-L86, "")</f>
        <v/>
      </c>
      <c r="O86" s="33" t="str">
        <f aca="false">IF(C86&lt;&gt;"", L86/(1-M86), "")</f>
        <v/>
      </c>
    </row>
    <row r="87" customFormat="false" ht="12.8" hidden="false" customHeight="false" outlineLevel="0" collapsed="false">
      <c r="A87" s="1" t="s">
        <v>1128</v>
      </c>
      <c r="B87" s="31" t="s">
        <v>1129</v>
      </c>
      <c r="D87" s="32" t="str">
        <f aca="true">IF(C87&lt;&gt;"", SUM(INDEX(INDIRECT("'" &amp; B87 &amp; "'.$A$1:$Z$1000"), 0, MATCH("count", INDIRECT("'" &amp; B87 &amp; "'.$A$1:$Z$1"), 0))), "")</f>
        <v/>
      </c>
      <c r="E87" s="33" t="str">
        <f aca="true">IF(C87&lt;&gt;"", SUM(INDEX(INDIRECT("'" &amp; B87 &amp; "'.$A$1:$Z$1000"), 0, MATCH("cost", INDIRECT("'" &amp; B87 &amp; "'.$A$1:$Z$1"), 0))), "")</f>
        <v/>
      </c>
      <c r="F87" s="40" t="str">
        <f aca="true">IF(C87&lt;&gt;"", SUM(INDEX(INDIRECT("'" &amp; B87 &amp; "'.$A$1:$Z$1000"), 0, MATCH("total_assembly_time_min", INDIRECT("'" &amp; B87 &amp; "'.$A$1:$Z$1"), 0)))/60, "")</f>
        <v/>
      </c>
      <c r="G87" s="33" t="str">
        <f aca="false">IF(C87&lt;&gt;"", values!$B$2, "")</f>
        <v/>
      </c>
      <c r="H87" s="33" t="str">
        <f aca="false">IF(C87&lt;&gt;"", F87*G87, "")</f>
        <v/>
      </c>
      <c r="I87" s="33" t="str">
        <f aca="false">IF(C87&lt;&gt;"", H87+E87, "")</f>
        <v/>
      </c>
      <c r="K87" s="33" t="str">
        <f aca="false">IF(C87&lt;&gt;"", L87-I87, "")</f>
        <v/>
      </c>
      <c r="L87" s="33" t="str">
        <f aca="false">IF(C87&lt;&gt;"", I87/(1-J87), "")</f>
        <v/>
      </c>
      <c r="M87" s="33" t="str">
        <f aca="false">IF(C87&lt;&gt;"", values!$A$2, "")</f>
        <v/>
      </c>
      <c r="N87" s="33" t="str">
        <f aca="false">IF(C87&lt;&gt;"", O87-L87, "")</f>
        <v/>
      </c>
      <c r="O87" s="33" t="str">
        <f aca="false">IF(C87&lt;&gt;"", L87/(1-M87), "")</f>
        <v/>
      </c>
    </row>
    <row r="88" customFormat="false" ht="12.8" hidden="false" customHeight="false" outlineLevel="0" collapsed="false">
      <c r="A88" s="1" t="s">
        <v>1130</v>
      </c>
      <c r="B88" s="31" t="s">
        <v>1131</v>
      </c>
      <c r="D88" s="32" t="str">
        <f aca="true">IF(C88&lt;&gt;"", SUM(INDEX(INDIRECT("'" &amp; B88 &amp; "'.$A$1:$Z$1000"), 0, MATCH("count", INDIRECT("'" &amp; B88 &amp; "'.$A$1:$Z$1"), 0))), "")</f>
        <v/>
      </c>
      <c r="E88" s="33" t="str">
        <f aca="true">IF(C88&lt;&gt;"", SUM(INDEX(INDIRECT("'" &amp; B88 &amp; "'.$A$1:$Z$1000"), 0, MATCH("cost", INDIRECT("'" &amp; B88 &amp; "'.$A$1:$Z$1"), 0))), "")</f>
        <v/>
      </c>
      <c r="F88" s="40" t="str">
        <f aca="true">IF(C88&lt;&gt;"", SUM(INDEX(INDIRECT("'" &amp; B88 &amp; "'.$A$1:$Z$1000"), 0, MATCH("total_assembly_time_min", INDIRECT("'" &amp; B88 &amp; "'.$A$1:$Z$1"), 0)))/60, "")</f>
        <v/>
      </c>
      <c r="G88" s="33" t="str">
        <f aca="false">IF(C88&lt;&gt;"", values!$B$2, "")</f>
        <v/>
      </c>
      <c r="H88" s="33" t="str">
        <f aca="false">IF(C88&lt;&gt;"", F88*G88, "")</f>
        <v/>
      </c>
      <c r="I88" s="33" t="str">
        <f aca="false">IF(C88&lt;&gt;"", H88+E88, "")</f>
        <v/>
      </c>
      <c r="K88" s="33" t="str">
        <f aca="false">IF(C88&lt;&gt;"", L88-I88, "")</f>
        <v/>
      </c>
      <c r="L88" s="33" t="str">
        <f aca="false">IF(C88&lt;&gt;"", I88/(1-J88), "")</f>
        <v/>
      </c>
      <c r="M88" s="33" t="str">
        <f aca="false">IF(C88&lt;&gt;"", values!$A$2, "")</f>
        <v/>
      </c>
      <c r="N88" s="33" t="str">
        <f aca="false">IF(C88&lt;&gt;"", O88-L88, "")</f>
        <v/>
      </c>
      <c r="O88" s="33" t="str">
        <f aca="false">IF(C88&lt;&gt;"", L88/(1-M88), "")</f>
        <v/>
      </c>
    </row>
    <row r="89" customFormat="false" ht="12.8" hidden="false" customHeight="false" outlineLevel="0" collapsed="false">
      <c r="A89" s="1" t="s">
        <v>1132</v>
      </c>
      <c r="B89" s="31" t="s">
        <v>1133</v>
      </c>
      <c r="D89" s="32" t="str">
        <f aca="true">IF(C89&lt;&gt;"", SUM(INDEX(INDIRECT("'" &amp; B89 &amp; "'.$A$1:$Z$1000"), 0, MATCH("count", INDIRECT("'" &amp; B89 &amp; "'.$A$1:$Z$1"), 0))), "")</f>
        <v/>
      </c>
      <c r="E89" s="33" t="str">
        <f aca="true">IF(C89&lt;&gt;"", SUM(INDEX(INDIRECT("'" &amp; B89 &amp; "'.$A$1:$Z$1000"), 0, MATCH("cost", INDIRECT("'" &amp; B89 &amp; "'.$A$1:$Z$1"), 0))), "")</f>
        <v/>
      </c>
      <c r="F89" s="40" t="str">
        <f aca="true">IF(C89&lt;&gt;"", SUM(INDEX(INDIRECT("'" &amp; B89 &amp; "'.$A$1:$Z$1000"), 0, MATCH("total_assembly_time_min", INDIRECT("'" &amp; B89 &amp; "'.$A$1:$Z$1"), 0)))/60, "")</f>
        <v/>
      </c>
      <c r="G89" s="33" t="str">
        <f aca="false">IF(C89&lt;&gt;"", values!$B$2, "")</f>
        <v/>
      </c>
      <c r="H89" s="33" t="str">
        <f aca="false">IF(C89&lt;&gt;"", F89*G89, "")</f>
        <v/>
      </c>
      <c r="I89" s="33" t="str">
        <f aca="false">IF(C89&lt;&gt;"", H89+E89, "")</f>
        <v/>
      </c>
      <c r="K89" s="33" t="str">
        <f aca="false">IF(C89&lt;&gt;"", L89-I89, "")</f>
        <v/>
      </c>
      <c r="L89" s="33" t="str">
        <f aca="false">IF(C89&lt;&gt;"", I89/(1-J89), "")</f>
        <v/>
      </c>
      <c r="M89" s="33" t="str">
        <f aca="false">IF(C89&lt;&gt;"", values!$A$2, "")</f>
        <v/>
      </c>
      <c r="N89" s="33" t="str">
        <f aca="false">IF(C89&lt;&gt;"", O89-L89, "")</f>
        <v/>
      </c>
      <c r="O89" s="33" t="str">
        <f aca="false">IF(C89&lt;&gt;"", L89/(1-M89), "")</f>
        <v/>
      </c>
    </row>
    <row r="90" customFormat="false" ht="12.8" hidden="false" customHeight="false" outlineLevel="0" collapsed="false">
      <c r="A90" s="1" t="s">
        <v>1134</v>
      </c>
      <c r="B90" s="31" t="s">
        <v>1135</v>
      </c>
      <c r="D90" s="32" t="str">
        <f aca="true">IF(C90&lt;&gt;"", SUM(INDEX(INDIRECT("'" &amp; B90 &amp; "'.$A$1:$Z$1000"), 0, MATCH("count", INDIRECT("'" &amp; B90 &amp; "'.$A$1:$Z$1"), 0))), "")</f>
        <v/>
      </c>
      <c r="E90" s="33" t="str">
        <f aca="true">IF(C90&lt;&gt;"", SUM(INDEX(INDIRECT("'" &amp; B90 &amp; "'.$A$1:$Z$1000"), 0, MATCH("cost", INDIRECT("'" &amp; B90 &amp; "'.$A$1:$Z$1"), 0))), "")</f>
        <v/>
      </c>
      <c r="F90" s="40" t="str">
        <f aca="true">IF(C90&lt;&gt;"", SUM(INDEX(INDIRECT("'" &amp; B90 &amp; "'.$A$1:$Z$1000"), 0, MATCH("total_assembly_time_min", INDIRECT("'" &amp; B90 &amp; "'.$A$1:$Z$1"), 0)))/60, "")</f>
        <v/>
      </c>
      <c r="G90" s="33" t="str">
        <f aca="false">IF(C90&lt;&gt;"", values!$B$2, "")</f>
        <v/>
      </c>
      <c r="H90" s="33" t="str">
        <f aca="false">IF(C90&lt;&gt;"", F90*G90, "")</f>
        <v/>
      </c>
      <c r="I90" s="33" t="str">
        <f aca="false">IF(C90&lt;&gt;"", H90+E90, "")</f>
        <v/>
      </c>
      <c r="K90" s="33" t="str">
        <f aca="false">IF(C90&lt;&gt;"", L90-I90, "")</f>
        <v/>
      </c>
      <c r="L90" s="33" t="str">
        <f aca="false">IF(C90&lt;&gt;"", I90/(1-J90), "")</f>
        <v/>
      </c>
      <c r="M90" s="33" t="str">
        <f aca="false">IF(C90&lt;&gt;"", values!$A$2, "")</f>
        <v/>
      </c>
      <c r="N90" s="33" t="str">
        <f aca="false">IF(C90&lt;&gt;"", O90-L90, "")</f>
        <v/>
      </c>
      <c r="O90" s="33" t="str">
        <f aca="false">IF(C90&lt;&gt;"", L90/(1-M90), "")</f>
        <v/>
      </c>
    </row>
    <row r="91" customFormat="false" ht="12.8" hidden="false" customHeight="false" outlineLevel="0" collapsed="false">
      <c r="A91" s="1" t="s">
        <v>1136</v>
      </c>
      <c r="B91" s="31" t="s">
        <v>1137</v>
      </c>
      <c r="D91" s="32" t="str">
        <f aca="true">IF(C91&lt;&gt;"", SUM(INDEX(INDIRECT("'" &amp; B91 &amp; "'.$A$1:$Z$1000"), 0, MATCH("count", INDIRECT("'" &amp; B91 &amp; "'.$A$1:$Z$1"), 0))), "")</f>
        <v/>
      </c>
      <c r="E91" s="33" t="str">
        <f aca="true">IF(C91&lt;&gt;"", SUM(INDEX(INDIRECT("'" &amp; B91 &amp; "'.$A$1:$Z$1000"), 0, MATCH("cost", INDIRECT("'" &amp; B91 &amp; "'.$A$1:$Z$1"), 0))), "")</f>
        <v/>
      </c>
      <c r="F91" s="40" t="str">
        <f aca="true">IF(C91&lt;&gt;"", SUM(INDEX(INDIRECT("'" &amp; B91 &amp; "'.$A$1:$Z$1000"), 0, MATCH("total_assembly_time_min", INDIRECT("'" &amp; B91 &amp; "'.$A$1:$Z$1"), 0)))/60, "")</f>
        <v/>
      </c>
      <c r="G91" s="33" t="str">
        <f aca="false">IF(C91&lt;&gt;"", values!$B$2, "")</f>
        <v/>
      </c>
      <c r="H91" s="33" t="str">
        <f aca="false">IF(C91&lt;&gt;"", F91*G91, "")</f>
        <v/>
      </c>
      <c r="I91" s="33" t="str">
        <f aca="false">IF(C91&lt;&gt;"", H91+E91, "")</f>
        <v/>
      </c>
      <c r="K91" s="33" t="str">
        <f aca="false">IF(C91&lt;&gt;"", L91-I91, "")</f>
        <v/>
      </c>
      <c r="L91" s="33" t="str">
        <f aca="false">IF(C91&lt;&gt;"", I91/(1-J91), "")</f>
        <v/>
      </c>
      <c r="M91" s="33" t="str">
        <f aca="false">IF(C91&lt;&gt;"", values!$A$2, "")</f>
        <v/>
      </c>
      <c r="N91" s="33" t="str">
        <f aca="false">IF(C91&lt;&gt;"", O91-L91, "")</f>
        <v/>
      </c>
      <c r="O91" s="33" t="str">
        <f aca="false">IF(C91&lt;&gt;"", L91/(1-M91), "")</f>
        <v/>
      </c>
    </row>
    <row r="92" customFormat="false" ht="12.8" hidden="false" customHeight="false" outlineLevel="0" collapsed="false">
      <c r="A92" s="1" t="s">
        <v>1138</v>
      </c>
      <c r="B92" s="31" t="s">
        <v>1139</v>
      </c>
      <c r="D92" s="32" t="str">
        <f aca="true">IF(C92&lt;&gt;"", SUM(INDEX(INDIRECT("'" &amp; B92 &amp; "'.$A$1:$Z$1000"), 0, MATCH("count", INDIRECT("'" &amp; B92 &amp; "'.$A$1:$Z$1"), 0))), "")</f>
        <v/>
      </c>
      <c r="E92" s="33" t="str">
        <f aca="true">IF(C92&lt;&gt;"", SUM(INDEX(INDIRECT("'" &amp; B92 &amp; "'.$A$1:$Z$1000"), 0, MATCH("cost", INDIRECT("'" &amp; B92 &amp; "'.$A$1:$Z$1"), 0))), "")</f>
        <v/>
      </c>
      <c r="F92" s="40" t="str">
        <f aca="true">IF(C92&lt;&gt;"", SUM(INDEX(INDIRECT("'" &amp; B92 &amp; "'.$A$1:$Z$1000"), 0, MATCH("total_assembly_time_min", INDIRECT("'" &amp; B92 &amp; "'.$A$1:$Z$1"), 0)))/60, "")</f>
        <v/>
      </c>
      <c r="G92" s="33" t="str">
        <f aca="false">IF(C92&lt;&gt;"", values!$B$2, "")</f>
        <v/>
      </c>
      <c r="H92" s="33" t="str">
        <f aca="false">IF(C92&lt;&gt;"", F92*G92, "")</f>
        <v/>
      </c>
      <c r="I92" s="33" t="str">
        <f aca="false">IF(C92&lt;&gt;"", H92+E92, "")</f>
        <v/>
      </c>
      <c r="K92" s="33" t="str">
        <f aca="false">IF(C92&lt;&gt;"", L92-I92, "")</f>
        <v/>
      </c>
      <c r="L92" s="33" t="str">
        <f aca="false">IF(C92&lt;&gt;"", I92/(1-J92), "")</f>
        <v/>
      </c>
      <c r="M92" s="33" t="str">
        <f aca="false">IF(C92&lt;&gt;"", values!$A$2, "")</f>
        <v/>
      </c>
      <c r="N92" s="33" t="str">
        <f aca="false">IF(C92&lt;&gt;"", O92-L92, "")</f>
        <v/>
      </c>
      <c r="O92" s="33" t="str">
        <f aca="false">IF(C92&lt;&gt;"", L92/(1-M92), "")</f>
        <v/>
      </c>
    </row>
    <row r="93" customFormat="false" ht="12.8" hidden="false" customHeight="false" outlineLevel="0" collapsed="false">
      <c r="A93" s="1" t="s">
        <v>1140</v>
      </c>
      <c r="B93" s="31" t="s">
        <v>1141</v>
      </c>
      <c r="D93" s="32" t="str">
        <f aca="true">IF(C93&lt;&gt;"", SUM(INDEX(INDIRECT("'" &amp; B93 &amp; "'.$A$1:$Z$1000"), 0, MATCH("count", INDIRECT("'" &amp; B93 &amp; "'.$A$1:$Z$1"), 0))), "")</f>
        <v/>
      </c>
      <c r="E93" s="33" t="str">
        <f aca="true">IF(C93&lt;&gt;"", SUM(INDEX(INDIRECT("'" &amp; B93 &amp; "'.$A$1:$Z$1000"), 0, MATCH("cost", INDIRECT("'" &amp; B93 &amp; "'.$A$1:$Z$1"), 0))), "")</f>
        <v/>
      </c>
      <c r="F93" s="40" t="str">
        <f aca="true">IF(C93&lt;&gt;"", SUM(INDEX(INDIRECT("'" &amp; B93 &amp; "'.$A$1:$Z$1000"), 0, MATCH("total_assembly_time_min", INDIRECT("'" &amp; B93 &amp; "'.$A$1:$Z$1"), 0)))/60, "")</f>
        <v/>
      </c>
      <c r="G93" s="33" t="str">
        <f aca="false">IF(C93&lt;&gt;"", values!$B$2, "")</f>
        <v/>
      </c>
      <c r="H93" s="33" t="str">
        <f aca="false">IF(C93&lt;&gt;"", F93*G93, "")</f>
        <v/>
      </c>
      <c r="I93" s="33" t="str">
        <f aca="false">IF(C93&lt;&gt;"", H93+E93, "")</f>
        <v/>
      </c>
      <c r="K93" s="33" t="str">
        <f aca="false">IF(C93&lt;&gt;"", L93-I93, "")</f>
        <v/>
      </c>
      <c r="L93" s="33" t="str">
        <f aca="false">IF(C93&lt;&gt;"", I93/(1-J93), "")</f>
        <v/>
      </c>
      <c r="M93" s="33" t="str">
        <f aca="false">IF(C93&lt;&gt;"", values!$A$2, "")</f>
        <v/>
      </c>
      <c r="N93" s="33" t="str">
        <f aca="false">IF(C93&lt;&gt;"", O93-L93, "")</f>
        <v/>
      </c>
      <c r="O93" s="33" t="str">
        <f aca="false">IF(C93&lt;&gt;"", L93/(1-M93), "")</f>
        <v/>
      </c>
    </row>
    <row r="94" customFormat="false" ht="12.8" hidden="false" customHeight="false" outlineLevel="0" collapsed="false">
      <c r="A94" s="1" t="s">
        <v>1142</v>
      </c>
      <c r="B94" s="31" t="s">
        <v>1143</v>
      </c>
      <c r="D94" s="32" t="str">
        <f aca="true">IF(C94&lt;&gt;"", SUM(INDEX(INDIRECT("'" &amp; B94 &amp; "'.$A$1:$Z$1000"), 0, MATCH("count", INDIRECT("'" &amp; B94 &amp; "'.$A$1:$Z$1"), 0))), "")</f>
        <v/>
      </c>
      <c r="E94" s="33" t="str">
        <f aca="true">IF(C94&lt;&gt;"", SUM(INDEX(INDIRECT("'" &amp; B94 &amp; "'.$A$1:$Z$1000"), 0, MATCH("cost", INDIRECT("'" &amp; B94 &amp; "'.$A$1:$Z$1"), 0))), "")</f>
        <v/>
      </c>
      <c r="F94" s="40" t="str">
        <f aca="true">IF(C94&lt;&gt;"", SUM(INDEX(INDIRECT("'" &amp; B94 &amp; "'.$A$1:$Z$1000"), 0, MATCH("total_assembly_time_min", INDIRECT("'" &amp; B94 &amp; "'.$A$1:$Z$1"), 0)))/60, "")</f>
        <v/>
      </c>
      <c r="G94" s="33" t="str">
        <f aca="false">IF(C94&lt;&gt;"", values!$B$2, "")</f>
        <v/>
      </c>
      <c r="H94" s="33" t="str">
        <f aca="false">IF(C94&lt;&gt;"", F94*G94, "")</f>
        <v/>
      </c>
      <c r="I94" s="33" t="str">
        <f aca="false">IF(C94&lt;&gt;"", H94+E94, "")</f>
        <v/>
      </c>
      <c r="K94" s="33" t="str">
        <f aca="false">IF(C94&lt;&gt;"", L94-I94, "")</f>
        <v/>
      </c>
      <c r="L94" s="33" t="str">
        <f aca="false">IF(C94&lt;&gt;"", I94/(1-J94), "")</f>
        <v/>
      </c>
      <c r="M94" s="33" t="str">
        <f aca="false">IF(C94&lt;&gt;"", values!$A$2, "")</f>
        <v/>
      </c>
      <c r="N94" s="33" t="str">
        <f aca="false">IF(C94&lt;&gt;"", O94-L94, "")</f>
        <v/>
      </c>
      <c r="O94" s="33" t="str">
        <f aca="false">IF(C94&lt;&gt;"", L94/(1-M94), "")</f>
        <v/>
      </c>
    </row>
    <row r="95" customFormat="false" ht="12.8" hidden="false" customHeight="false" outlineLevel="0" collapsed="false">
      <c r="A95" s="1" t="s">
        <v>1144</v>
      </c>
      <c r="B95" s="31" t="s">
        <v>1145</v>
      </c>
      <c r="D95" s="32" t="str">
        <f aca="true">IF(C95&lt;&gt;"", SUM(INDEX(INDIRECT("'" &amp; B95 &amp; "'.$A$1:$Z$1000"), 0, MATCH("count", INDIRECT("'" &amp; B95 &amp; "'.$A$1:$Z$1"), 0))), "")</f>
        <v/>
      </c>
      <c r="E95" s="33" t="str">
        <f aca="true">IF(C95&lt;&gt;"", SUM(INDEX(INDIRECT("'" &amp; B95 &amp; "'.$A$1:$Z$1000"), 0, MATCH("cost", INDIRECT("'" &amp; B95 &amp; "'.$A$1:$Z$1"), 0))), "")</f>
        <v/>
      </c>
      <c r="F95" s="40" t="str">
        <f aca="true">IF(C95&lt;&gt;"", SUM(INDEX(INDIRECT("'" &amp; B95 &amp; "'.$A$1:$Z$1000"), 0, MATCH("total_assembly_time_min", INDIRECT("'" &amp; B95 &amp; "'.$A$1:$Z$1"), 0)))/60, "")</f>
        <v/>
      </c>
      <c r="G95" s="33" t="str">
        <f aca="false">IF(C95&lt;&gt;"", values!$B$2, "")</f>
        <v/>
      </c>
      <c r="H95" s="33" t="str">
        <f aca="false">IF(C95&lt;&gt;"", F95*G95, "")</f>
        <v/>
      </c>
      <c r="I95" s="33" t="str">
        <f aca="false">IF(C95&lt;&gt;"", H95+E95, "")</f>
        <v/>
      </c>
      <c r="K95" s="33" t="str">
        <f aca="false">IF(C95&lt;&gt;"", L95-I95, "")</f>
        <v/>
      </c>
      <c r="L95" s="33" t="str">
        <f aca="false">IF(C95&lt;&gt;"", I95/(1-J95), "")</f>
        <v/>
      </c>
      <c r="M95" s="33" t="str">
        <f aca="false">IF(C95&lt;&gt;"", values!$A$2, "")</f>
        <v/>
      </c>
      <c r="N95" s="33" t="str">
        <f aca="false">IF(C95&lt;&gt;"", O95-L95, "")</f>
        <v/>
      </c>
      <c r="O95" s="33" t="str">
        <f aca="false">IF(C95&lt;&gt;"", L95/(1-M95), "")</f>
        <v/>
      </c>
    </row>
    <row r="96" customFormat="false" ht="12.8" hidden="false" customHeight="false" outlineLevel="0" collapsed="false">
      <c r="A96" s="1" t="s">
        <v>1146</v>
      </c>
      <c r="B96" s="31" t="s">
        <v>1147</v>
      </c>
      <c r="D96" s="32" t="str">
        <f aca="true">IF(C96&lt;&gt;"", SUM(INDEX(INDIRECT("'" &amp; B96 &amp; "'.$A$1:$Z$1000"), 0, MATCH("count", INDIRECT("'" &amp; B96 &amp; "'.$A$1:$Z$1"), 0))), "")</f>
        <v/>
      </c>
      <c r="E96" s="33" t="str">
        <f aca="true">IF(C96&lt;&gt;"", SUM(INDEX(INDIRECT("'" &amp; B96 &amp; "'.$A$1:$Z$1000"), 0, MATCH("cost", INDIRECT("'" &amp; B96 &amp; "'.$A$1:$Z$1"), 0))), "")</f>
        <v/>
      </c>
      <c r="F96" s="40" t="str">
        <f aca="true">IF(C96&lt;&gt;"", SUM(INDEX(INDIRECT("'" &amp; B96 &amp; "'.$A$1:$Z$1000"), 0, MATCH("total_assembly_time_min", INDIRECT("'" &amp; B96 &amp; "'.$A$1:$Z$1"), 0)))/60, "")</f>
        <v/>
      </c>
      <c r="G96" s="33" t="str">
        <f aca="false">IF(C96&lt;&gt;"", values!$B$2, "")</f>
        <v/>
      </c>
      <c r="H96" s="33" t="str">
        <f aca="false">IF(C96&lt;&gt;"", F96*G96, "")</f>
        <v/>
      </c>
      <c r="I96" s="33" t="str">
        <f aca="false">IF(C96&lt;&gt;"", H96+E96, "")</f>
        <v/>
      </c>
      <c r="K96" s="33" t="str">
        <f aca="false">IF(C96&lt;&gt;"", L96-I96, "")</f>
        <v/>
      </c>
      <c r="L96" s="33" t="str">
        <f aca="false">IF(C96&lt;&gt;"", I96/(1-J96), "")</f>
        <v/>
      </c>
      <c r="M96" s="33" t="str">
        <f aca="false">IF(C96&lt;&gt;"", values!$A$2, "")</f>
        <v/>
      </c>
      <c r="N96" s="33" t="str">
        <f aca="false">IF(C96&lt;&gt;"", O96-L96, "")</f>
        <v/>
      </c>
      <c r="O96" s="33" t="str">
        <f aca="false">IF(C96&lt;&gt;"", L96/(1-M96), "")</f>
        <v/>
      </c>
    </row>
    <row r="97" customFormat="false" ht="12.8" hidden="false" customHeight="false" outlineLevel="0" collapsed="false">
      <c r="A97" s="1" t="s">
        <v>1148</v>
      </c>
      <c r="B97" s="31" t="s">
        <v>1149</v>
      </c>
      <c r="D97" s="32" t="str">
        <f aca="true">IF(C97&lt;&gt;"", SUM(INDEX(INDIRECT("'" &amp; B97 &amp; "'.$A$1:$Z$1000"), 0, MATCH("count", INDIRECT("'" &amp; B97 &amp; "'.$A$1:$Z$1"), 0))), "")</f>
        <v/>
      </c>
      <c r="E97" s="33" t="str">
        <f aca="true">IF(C97&lt;&gt;"", SUM(INDEX(INDIRECT("'" &amp; B97 &amp; "'.$A$1:$Z$1000"), 0, MATCH("cost", INDIRECT("'" &amp; B97 &amp; "'.$A$1:$Z$1"), 0))), "")</f>
        <v/>
      </c>
      <c r="F97" s="40" t="str">
        <f aca="true">IF(C97&lt;&gt;"", SUM(INDEX(INDIRECT("'" &amp; B97 &amp; "'.$A$1:$Z$1000"), 0, MATCH("total_assembly_time_min", INDIRECT("'" &amp; B97 &amp; "'.$A$1:$Z$1"), 0)))/60, "")</f>
        <v/>
      </c>
      <c r="G97" s="33" t="str">
        <f aca="false">IF(C97&lt;&gt;"", values!$B$2, "")</f>
        <v/>
      </c>
      <c r="H97" s="33" t="str">
        <f aca="false">IF(C97&lt;&gt;"", F97*G97, "")</f>
        <v/>
      </c>
      <c r="I97" s="33" t="str">
        <f aca="false">IF(C97&lt;&gt;"", H97+E97, "")</f>
        <v/>
      </c>
      <c r="K97" s="33" t="str">
        <f aca="false">IF(C97&lt;&gt;"", L97-I97, "")</f>
        <v/>
      </c>
      <c r="L97" s="33" t="str">
        <f aca="false">IF(C97&lt;&gt;"", I97/(1-J97), "")</f>
        <v/>
      </c>
      <c r="M97" s="33" t="str">
        <f aca="false">IF(C97&lt;&gt;"", values!$A$2, "")</f>
        <v/>
      </c>
      <c r="N97" s="33" t="str">
        <f aca="false">IF(C97&lt;&gt;"", O97-L97, "")</f>
        <v/>
      </c>
      <c r="O97" s="33" t="str">
        <f aca="false">IF(C97&lt;&gt;"", L97/(1-M97), "")</f>
        <v/>
      </c>
    </row>
    <row r="98" customFormat="false" ht="12.8" hidden="false" customHeight="false" outlineLevel="0" collapsed="false">
      <c r="A98" s="1" t="s">
        <v>1150</v>
      </c>
      <c r="B98" s="31" t="s">
        <v>1151</v>
      </c>
      <c r="D98" s="32" t="str">
        <f aca="true">IF(C98&lt;&gt;"", SUM(INDEX(INDIRECT("'" &amp; B98 &amp; "'.$A$1:$Z$1000"), 0, MATCH("count", INDIRECT("'" &amp; B98 &amp; "'.$A$1:$Z$1"), 0))), "")</f>
        <v/>
      </c>
      <c r="E98" s="33" t="str">
        <f aca="true">IF(C98&lt;&gt;"", SUM(INDEX(INDIRECT("'" &amp; B98 &amp; "'.$A$1:$Z$1000"), 0, MATCH("cost", INDIRECT("'" &amp; B98 &amp; "'.$A$1:$Z$1"), 0))), "")</f>
        <v/>
      </c>
      <c r="F98" s="40" t="str">
        <f aca="true">IF(C98&lt;&gt;"", SUM(INDEX(INDIRECT("'" &amp; B98 &amp; "'.$A$1:$Z$1000"), 0, MATCH("total_assembly_time_min", INDIRECT("'" &amp; B98 &amp; "'.$A$1:$Z$1"), 0)))/60, "")</f>
        <v/>
      </c>
      <c r="G98" s="33" t="str">
        <f aca="false">IF(C98&lt;&gt;"", values!$B$2, "")</f>
        <v/>
      </c>
      <c r="H98" s="33" t="str">
        <f aca="false">IF(C98&lt;&gt;"", F98*G98, "")</f>
        <v/>
      </c>
      <c r="I98" s="33" t="str">
        <f aca="false">IF(C98&lt;&gt;"", H98+E98, "")</f>
        <v/>
      </c>
      <c r="K98" s="33" t="str">
        <f aca="false">IF(C98&lt;&gt;"", L98-I98, "")</f>
        <v/>
      </c>
      <c r="L98" s="33" t="str">
        <f aca="false">IF(C98&lt;&gt;"", I98/(1-J98), "")</f>
        <v/>
      </c>
      <c r="M98" s="33" t="str">
        <f aca="false">IF(C98&lt;&gt;"", values!$A$2, "")</f>
        <v/>
      </c>
      <c r="N98" s="33" t="str">
        <f aca="false">IF(C98&lt;&gt;"", O98-L98, "")</f>
        <v/>
      </c>
      <c r="O98" s="33" t="str">
        <f aca="false">IF(C98&lt;&gt;"", L98/(1-M98), "")</f>
        <v/>
      </c>
    </row>
    <row r="99" customFormat="false" ht="12.8" hidden="false" customHeight="false" outlineLevel="0" collapsed="false">
      <c r="A99" s="1" t="s">
        <v>1152</v>
      </c>
      <c r="B99" s="31" t="s">
        <v>1153</v>
      </c>
      <c r="D99" s="32" t="str">
        <f aca="true">IF(C99&lt;&gt;"", SUM(INDEX(INDIRECT("'" &amp; B99 &amp; "'.$A$1:$Z$1000"), 0, MATCH("count", INDIRECT("'" &amp; B99 &amp; "'.$A$1:$Z$1"), 0))), "")</f>
        <v/>
      </c>
      <c r="E99" s="33" t="str">
        <f aca="true">IF(C99&lt;&gt;"", SUM(INDEX(INDIRECT("'" &amp; B99 &amp; "'.$A$1:$Z$1000"), 0, MATCH("cost", INDIRECT("'" &amp; B99 &amp; "'.$A$1:$Z$1"), 0))), "")</f>
        <v/>
      </c>
      <c r="F99" s="40" t="str">
        <f aca="true">IF(C99&lt;&gt;"", SUM(INDEX(INDIRECT("'" &amp; B99 &amp; "'.$A$1:$Z$1000"), 0, MATCH("total_assembly_time_min", INDIRECT("'" &amp; B99 &amp; "'.$A$1:$Z$1"), 0)))/60, "")</f>
        <v/>
      </c>
      <c r="G99" s="33" t="str">
        <f aca="false">IF(C99&lt;&gt;"", values!$B$2, "")</f>
        <v/>
      </c>
      <c r="H99" s="33" t="str">
        <f aca="false">IF(C99&lt;&gt;"", F99*G99, "")</f>
        <v/>
      </c>
      <c r="I99" s="33" t="str">
        <f aca="false">IF(C99&lt;&gt;"", H99+E99, "")</f>
        <v/>
      </c>
      <c r="K99" s="33" t="str">
        <f aca="false">IF(C99&lt;&gt;"", L99-I99, "")</f>
        <v/>
      </c>
      <c r="L99" s="33" t="str">
        <f aca="false">IF(C99&lt;&gt;"", I99/(1-J99), "")</f>
        <v/>
      </c>
      <c r="M99" s="33" t="str">
        <f aca="false">IF(C99&lt;&gt;"", values!$A$2, "")</f>
        <v/>
      </c>
      <c r="N99" s="33" t="str">
        <f aca="false">IF(C99&lt;&gt;"", O99-L99, "")</f>
        <v/>
      </c>
      <c r="O99" s="33" t="str">
        <f aca="false">IF(C99&lt;&gt;"", L99/(1-M99), "")</f>
        <v/>
      </c>
    </row>
    <row r="100" customFormat="false" ht="12.8" hidden="false" customHeight="false" outlineLevel="0" collapsed="false">
      <c r="A100" s="1" t="s">
        <v>1154</v>
      </c>
      <c r="B100" s="31" t="s">
        <v>1155</v>
      </c>
      <c r="D100" s="32" t="str">
        <f aca="true">IF(C100&lt;&gt;"", SUM(INDEX(INDIRECT("'" &amp; B100 &amp; "'.$A$1:$Z$1000"), 0, MATCH("count", INDIRECT("'" &amp; B100 &amp; "'.$A$1:$Z$1"), 0))), "")</f>
        <v/>
      </c>
      <c r="E100" s="33" t="str">
        <f aca="true">IF(C100&lt;&gt;"", SUM(INDEX(INDIRECT("'" &amp; B100 &amp; "'.$A$1:$Z$1000"), 0, MATCH("cost", INDIRECT("'" &amp; B100 &amp; "'.$A$1:$Z$1"), 0))), "")</f>
        <v/>
      </c>
      <c r="F100" s="40" t="str">
        <f aca="true">IF(C100&lt;&gt;"", SUM(INDEX(INDIRECT("'" &amp; B100 &amp; "'.$A$1:$Z$1000"), 0, MATCH("total_assembly_time_min", INDIRECT("'" &amp; B100 &amp; "'.$A$1:$Z$1"), 0)))/60, "")</f>
        <v/>
      </c>
      <c r="G100" s="33" t="str">
        <f aca="false">IF(C100&lt;&gt;"", values!$B$2, "")</f>
        <v/>
      </c>
      <c r="H100" s="33" t="str">
        <f aca="false">IF(C100&lt;&gt;"", F100*G100, "")</f>
        <v/>
      </c>
      <c r="I100" s="33" t="str">
        <f aca="false">IF(C100&lt;&gt;"", H100+E100, "")</f>
        <v/>
      </c>
      <c r="K100" s="33" t="str">
        <f aca="false">IF(C100&lt;&gt;"", L100-I100, "")</f>
        <v/>
      </c>
      <c r="L100" s="33" t="str">
        <f aca="false">IF(C100&lt;&gt;"", I100/(1-J100), "")</f>
        <v/>
      </c>
      <c r="M100" s="33" t="str">
        <f aca="false">IF(C100&lt;&gt;"", values!$A$2, "")</f>
        <v/>
      </c>
      <c r="N100" s="33" t="str">
        <f aca="false">IF(C100&lt;&gt;"", O100-L100, "")</f>
        <v/>
      </c>
      <c r="O100" s="33" t="str">
        <f aca="false">IF(C100&lt;&gt;"", L100/(1-M100), "")</f>
        <v/>
      </c>
    </row>
    <row r="101" customFormat="false" ht="12.8" hidden="false" customHeight="false" outlineLevel="0" collapsed="false">
      <c r="A101" s="1" t="s">
        <v>1156</v>
      </c>
      <c r="B101" s="31" t="s">
        <v>1157</v>
      </c>
      <c r="D101" s="32" t="str">
        <f aca="true">IF(C101&lt;&gt;"", SUM(INDEX(INDIRECT("'" &amp; B101 &amp; "'.$A$1:$Z$1000"), 0, MATCH("count", INDIRECT("'" &amp; B101 &amp; "'.$A$1:$Z$1"), 0))), "")</f>
        <v/>
      </c>
      <c r="E101" s="33" t="str">
        <f aca="true">IF(C101&lt;&gt;"", SUM(INDEX(INDIRECT("'" &amp; B101 &amp; "'.$A$1:$Z$1000"), 0, MATCH("cost", INDIRECT("'" &amp; B101 &amp; "'.$A$1:$Z$1"), 0))), "")</f>
        <v/>
      </c>
      <c r="F101" s="40" t="str">
        <f aca="true">IF(C101&lt;&gt;"", SUM(INDEX(INDIRECT("'" &amp; B101 &amp; "'.$A$1:$Z$1000"), 0, MATCH("total_assembly_time_min", INDIRECT("'" &amp; B101 &amp; "'.$A$1:$Z$1"), 0)))/60, "")</f>
        <v/>
      </c>
      <c r="G101" s="33" t="str">
        <f aca="false">IF(C101&lt;&gt;"", values!$B$2, "")</f>
        <v/>
      </c>
      <c r="H101" s="33" t="str">
        <f aca="false">IF(C101&lt;&gt;"", F101*G101, "")</f>
        <v/>
      </c>
      <c r="I101" s="33" t="str">
        <f aca="false">IF(C101&lt;&gt;"", H101+E101, "")</f>
        <v/>
      </c>
      <c r="K101" s="33" t="str">
        <f aca="false">IF(C101&lt;&gt;"", L101-I101, "")</f>
        <v/>
      </c>
      <c r="L101" s="33" t="str">
        <f aca="false">IF(C101&lt;&gt;"", I101/(1-J101), "")</f>
        <v/>
      </c>
      <c r="M101" s="33" t="str">
        <f aca="false">IF(C101&lt;&gt;"", values!$A$2, "")</f>
        <v/>
      </c>
      <c r="N101" s="33" t="str">
        <f aca="false">IF(C101&lt;&gt;"", O101-L101, "")</f>
        <v/>
      </c>
      <c r="O101" s="33" t="str">
        <f aca="false">IF(C101&lt;&gt;"", L101/(1-M101), "")</f>
        <v/>
      </c>
    </row>
    <row r="102" customFormat="false" ht="12.8" hidden="false" customHeight="false" outlineLevel="0" collapsed="false">
      <c r="A102" s="1" t="s">
        <v>1158</v>
      </c>
      <c r="B102" s="31" t="s">
        <v>1159</v>
      </c>
      <c r="D102" s="32" t="str">
        <f aca="true">IF(C102&lt;&gt;"", SUM(INDEX(INDIRECT("'" &amp; B102 &amp; "'.$A$1:$Z$1000"), 0, MATCH("count", INDIRECT("'" &amp; B102 &amp; "'.$A$1:$Z$1"), 0))), "")</f>
        <v/>
      </c>
      <c r="E102" s="33" t="str">
        <f aca="true">IF(C102&lt;&gt;"", SUM(INDEX(INDIRECT("'" &amp; B102 &amp; "'.$A$1:$Z$1000"), 0, MATCH("cost", INDIRECT("'" &amp; B102 &amp; "'.$A$1:$Z$1"), 0))), "")</f>
        <v/>
      </c>
      <c r="F102" s="40" t="str">
        <f aca="true">IF(C102&lt;&gt;"", SUM(INDEX(INDIRECT("'" &amp; B102 &amp; "'.$A$1:$Z$1000"), 0, MATCH("total_assembly_time_min", INDIRECT("'" &amp; B102 &amp; "'.$A$1:$Z$1"), 0)))/60, "")</f>
        <v/>
      </c>
      <c r="G102" s="33" t="str">
        <f aca="false">IF(C102&lt;&gt;"", values!$B$2, "")</f>
        <v/>
      </c>
      <c r="H102" s="33" t="str">
        <f aca="false">IF(C102&lt;&gt;"", F102*G102, "")</f>
        <v/>
      </c>
      <c r="I102" s="33" t="str">
        <f aca="false">IF(C102&lt;&gt;"", H102+E102, "")</f>
        <v/>
      </c>
      <c r="K102" s="33" t="str">
        <f aca="false">IF(C102&lt;&gt;"", L102-I102, "")</f>
        <v/>
      </c>
      <c r="L102" s="33" t="str">
        <f aca="false">IF(C102&lt;&gt;"", I102/(1-J102), "")</f>
        <v/>
      </c>
      <c r="M102" s="33" t="str">
        <f aca="false">IF(C102&lt;&gt;"", values!$A$2, "")</f>
        <v/>
      </c>
      <c r="N102" s="33" t="str">
        <f aca="false">IF(C102&lt;&gt;"", O102-L102, "")</f>
        <v/>
      </c>
      <c r="O102" s="33" t="str">
        <f aca="false">IF(C102&lt;&gt;"", L102/(1-M102), "")</f>
        <v/>
      </c>
    </row>
    <row r="103" customFormat="false" ht="12.8" hidden="false" customHeight="false" outlineLevel="0" collapsed="false">
      <c r="A103" s="1" t="s">
        <v>1160</v>
      </c>
      <c r="B103" s="31" t="s">
        <v>1161</v>
      </c>
      <c r="D103" s="32" t="str">
        <f aca="true">IF(C103&lt;&gt;"", SUM(INDEX(INDIRECT("'" &amp; B103 &amp; "'.$A$1:$Z$1000"), 0, MATCH("count", INDIRECT("'" &amp; B103 &amp; "'.$A$1:$Z$1"), 0))), "")</f>
        <v/>
      </c>
      <c r="E103" s="33" t="str">
        <f aca="true">IF(C103&lt;&gt;"", SUM(INDEX(INDIRECT("'" &amp; B103 &amp; "'.$A$1:$Z$1000"), 0, MATCH("cost", INDIRECT("'" &amp; B103 &amp; "'.$A$1:$Z$1"), 0))), "")</f>
        <v/>
      </c>
      <c r="F103" s="40" t="str">
        <f aca="true">IF(C103&lt;&gt;"", SUM(INDEX(INDIRECT("'" &amp; B103 &amp; "'.$A$1:$Z$1000"), 0, MATCH("total_assembly_time_min", INDIRECT("'" &amp; B103 &amp; "'.$A$1:$Z$1"), 0)))/60, "")</f>
        <v/>
      </c>
      <c r="G103" s="33" t="str">
        <f aca="false">IF(C103&lt;&gt;"", values!$B$2, "")</f>
        <v/>
      </c>
      <c r="H103" s="33" t="str">
        <f aca="false">IF(C103&lt;&gt;"", F103*G103, "")</f>
        <v/>
      </c>
      <c r="I103" s="33" t="str">
        <f aca="false">IF(C103&lt;&gt;"", H103+E103, "")</f>
        <v/>
      </c>
      <c r="K103" s="33" t="str">
        <f aca="false">IF(C103&lt;&gt;"", L103-I103, "")</f>
        <v/>
      </c>
      <c r="L103" s="33" t="str">
        <f aca="false">IF(C103&lt;&gt;"", I103/(1-J103), "")</f>
        <v/>
      </c>
      <c r="M103" s="33" t="str">
        <f aca="false">IF(C103&lt;&gt;"", values!$A$2, "")</f>
        <v/>
      </c>
      <c r="N103" s="33" t="str">
        <f aca="false">IF(C103&lt;&gt;"", O103-L103, "")</f>
        <v/>
      </c>
      <c r="O103" s="33" t="str">
        <f aca="false">IF(C103&lt;&gt;"", L103/(1-M103), "")</f>
        <v/>
      </c>
    </row>
    <row r="104" customFormat="false" ht="12.8" hidden="false" customHeight="false" outlineLevel="0" collapsed="false">
      <c r="A104" s="1" t="s">
        <v>1162</v>
      </c>
      <c r="B104" s="31" t="s">
        <v>1163</v>
      </c>
      <c r="D104" s="32" t="str">
        <f aca="true">IF(C104&lt;&gt;"", SUM(INDEX(INDIRECT("'" &amp; B104 &amp; "'.$A$1:$Z$1000"), 0, MATCH("count", INDIRECT("'" &amp; B104 &amp; "'.$A$1:$Z$1"), 0))), "")</f>
        <v/>
      </c>
      <c r="E104" s="33" t="str">
        <f aca="true">IF(C104&lt;&gt;"", SUM(INDEX(INDIRECT("'" &amp; B104 &amp; "'.$A$1:$Z$1000"), 0, MATCH("cost", INDIRECT("'" &amp; B104 &amp; "'.$A$1:$Z$1"), 0))), "")</f>
        <v/>
      </c>
      <c r="F104" s="40" t="str">
        <f aca="true">IF(C104&lt;&gt;"", SUM(INDEX(INDIRECT("'" &amp; B104 &amp; "'.$A$1:$Z$1000"), 0, MATCH("total_assembly_time_min", INDIRECT("'" &amp; B104 &amp; "'.$A$1:$Z$1"), 0)))/60, "")</f>
        <v/>
      </c>
      <c r="G104" s="33" t="str">
        <f aca="false">IF(C104&lt;&gt;"", values!$B$2, "")</f>
        <v/>
      </c>
      <c r="H104" s="33" t="str">
        <f aca="false">IF(C104&lt;&gt;"", F104*G104, "")</f>
        <v/>
      </c>
      <c r="I104" s="33" t="str">
        <f aca="false">IF(C104&lt;&gt;"", H104+E104, "")</f>
        <v/>
      </c>
      <c r="K104" s="33" t="str">
        <f aca="false">IF(C104&lt;&gt;"", L104-I104, "")</f>
        <v/>
      </c>
      <c r="L104" s="33" t="str">
        <f aca="false">IF(C104&lt;&gt;"", I104/(1-J104), "")</f>
        <v/>
      </c>
      <c r="M104" s="33" t="str">
        <f aca="false">IF(C104&lt;&gt;"", values!$A$2, "")</f>
        <v/>
      </c>
      <c r="N104" s="33" t="str">
        <f aca="false">IF(C104&lt;&gt;"", O104-L104, "")</f>
        <v/>
      </c>
      <c r="O104" s="33" t="str">
        <f aca="false">IF(C104&lt;&gt;"", L104/(1-M104), "")</f>
        <v/>
      </c>
    </row>
    <row r="105" customFormat="false" ht="12.8" hidden="false" customHeight="false" outlineLevel="0" collapsed="false">
      <c r="A105" s="1" t="s">
        <v>1164</v>
      </c>
      <c r="B105" s="31" t="s">
        <v>1165</v>
      </c>
      <c r="D105" s="32" t="str">
        <f aca="true">IF(C105&lt;&gt;"", SUM(INDEX(INDIRECT("'" &amp; B105 &amp; "'.$A$1:$Z$1000"), 0, MATCH("count", INDIRECT("'" &amp; B105 &amp; "'.$A$1:$Z$1"), 0))), "")</f>
        <v/>
      </c>
      <c r="E105" s="33" t="str">
        <f aca="true">IF(C105&lt;&gt;"", SUM(INDEX(INDIRECT("'" &amp; B105 &amp; "'.$A$1:$Z$1000"), 0, MATCH("cost", INDIRECT("'" &amp; B105 &amp; "'.$A$1:$Z$1"), 0))), "")</f>
        <v/>
      </c>
      <c r="F105" s="40" t="str">
        <f aca="true">IF(C105&lt;&gt;"", SUM(INDEX(INDIRECT("'" &amp; B105 &amp; "'.$A$1:$Z$1000"), 0, MATCH("total_assembly_time_min", INDIRECT("'" &amp; B105 &amp; "'.$A$1:$Z$1"), 0)))/60, "")</f>
        <v/>
      </c>
      <c r="G105" s="33" t="str">
        <f aca="false">IF(C105&lt;&gt;"", values!$B$2, "")</f>
        <v/>
      </c>
      <c r="H105" s="33" t="str">
        <f aca="false">IF(C105&lt;&gt;"", F105*G105, "")</f>
        <v/>
      </c>
      <c r="I105" s="33" t="str">
        <f aca="false">IF(C105&lt;&gt;"", H105+E105, "")</f>
        <v/>
      </c>
      <c r="K105" s="33" t="str">
        <f aca="false">IF(C105&lt;&gt;"", L105-I105, "")</f>
        <v/>
      </c>
      <c r="L105" s="33" t="str">
        <f aca="false">IF(C105&lt;&gt;"", I105/(1-J105), "")</f>
        <v/>
      </c>
      <c r="M105" s="33" t="str">
        <f aca="false">IF(C105&lt;&gt;"", values!$A$2, "")</f>
        <v/>
      </c>
      <c r="N105" s="33" t="str">
        <f aca="false">IF(C105&lt;&gt;"", O105-L105, "")</f>
        <v/>
      </c>
      <c r="O105" s="33" t="str">
        <f aca="false">IF(C105&lt;&gt;"", L105/(1-M105), "")</f>
        <v/>
      </c>
    </row>
    <row r="106" customFormat="false" ht="12.8" hidden="false" customHeight="false" outlineLevel="0" collapsed="false">
      <c r="A106" s="1" t="s">
        <v>1166</v>
      </c>
      <c r="B106" s="31" t="s">
        <v>1167</v>
      </c>
      <c r="D106" s="32" t="str">
        <f aca="true">IF(C106&lt;&gt;"", SUM(INDEX(INDIRECT("'" &amp; B106 &amp; "'.$A$1:$Z$1000"), 0, MATCH("count", INDIRECT("'" &amp; B106 &amp; "'.$A$1:$Z$1"), 0))), "")</f>
        <v/>
      </c>
      <c r="E106" s="33" t="str">
        <f aca="true">IF(C106&lt;&gt;"", SUM(INDEX(INDIRECT("'" &amp; B106 &amp; "'.$A$1:$Z$1000"), 0, MATCH("cost", INDIRECT("'" &amp; B106 &amp; "'.$A$1:$Z$1"), 0))), "")</f>
        <v/>
      </c>
      <c r="F106" s="40" t="str">
        <f aca="true">IF(C106&lt;&gt;"", SUM(INDEX(INDIRECT("'" &amp; B106 &amp; "'.$A$1:$Z$1000"), 0, MATCH("total_assembly_time_min", INDIRECT("'" &amp; B106 &amp; "'.$A$1:$Z$1"), 0)))/60, "")</f>
        <v/>
      </c>
      <c r="G106" s="33" t="str">
        <f aca="false">IF(C106&lt;&gt;"", values!$B$2, "")</f>
        <v/>
      </c>
      <c r="H106" s="33" t="str">
        <f aca="false">IF(C106&lt;&gt;"", F106*G106, "")</f>
        <v/>
      </c>
      <c r="I106" s="33" t="str">
        <f aca="false">IF(C106&lt;&gt;"", H106+E106, "")</f>
        <v/>
      </c>
      <c r="K106" s="33" t="str">
        <f aca="false">IF(C106&lt;&gt;"", L106-I106, "")</f>
        <v/>
      </c>
      <c r="L106" s="33" t="str">
        <f aca="false">IF(C106&lt;&gt;"", I106/(1-J106), "")</f>
        <v/>
      </c>
      <c r="M106" s="33" t="str">
        <f aca="false">IF(C106&lt;&gt;"", values!$A$2, "")</f>
        <v/>
      </c>
      <c r="N106" s="33" t="str">
        <f aca="false">IF(C106&lt;&gt;"", O106-L106, "")</f>
        <v/>
      </c>
      <c r="O106" s="33" t="str">
        <f aca="false">IF(C106&lt;&gt;"", L106/(1-M106), "")</f>
        <v/>
      </c>
    </row>
    <row r="107" customFormat="false" ht="12.8" hidden="false" customHeight="false" outlineLevel="0" collapsed="false">
      <c r="A107" s="1" t="s">
        <v>1168</v>
      </c>
      <c r="B107" s="31" t="s">
        <v>1169</v>
      </c>
      <c r="D107" s="32" t="str">
        <f aca="true">IF(C107&lt;&gt;"", SUM(INDEX(INDIRECT("'" &amp; B107 &amp; "'.$A$1:$Z$1000"), 0, MATCH("count", INDIRECT("'" &amp; B107 &amp; "'.$A$1:$Z$1"), 0))), "")</f>
        <v/>
      </c>
      <c r="E107" s="33" t="str">
        <f aca="true">IF(C107&lt;&gt;"", SUM(INDEX(INDIRECT("'" &amp; B107 &amp; "'.$A$1:$Z$1000"), 0, MATCH("cost", INDIRECT("'" &amp; B107 &amp; "'.$A$1:$Z$1"), 0))), "")</f>
        <v/>
      </c>
      <c r="F107" s="40" t="str">
        <f aca="true">IF(C107&lt;&gt;"", SUM(INDEX(INDIRECT("'" &amp; B107 &amp; "'.$A$1:$Z$1000"), 0, MATCH("total_assembly_time_min", INDIRECT("'" &amp; B107 &amp; "'.$A$1:$Z$1"), 0)))/60, "")</f>
        <v/>
      </c>
      <c r="G107" s="33" t="str">
        <f aca="false">IF(C107&lt;&gt;"", values!$B$2, "")</f>
        <v/>
      </c>
      <c r="H107" s="33" t="str">
        <f aca="false">IF(C107&lt;&gt;"", F107*G107, "")</f>
        <v/>
      </c>
      <c r="I107" s="33" t="str">
        <f aca="false">IF(C107&lt;&gt;"", H107+E107, "")</f>
        <v/>
      </c>
      <c r="K107" s="33" t="str">
        <f aca="false">IF(C107&lt;&gt;"", L107-I107, "")</f>
        <v/>
      </c>
      <c r="L107" s="33" t="str">
        <f aca="false">IF(C107&lt;&gt;"", I107/(1-J107), "")</f>
        <v/>
      </c>
      <c r="M107" s="33" t="str">
        <f aca="false">IF(C107&lt;&gt;"", values!$A$2, "")</f>
        <v/>
      </c>
      <c r="N107" s="33" t="str">
        <f aca="false">IF(C107&lt;&gt;"", O107-L107, "")</f>
        <v/>
      </c>
      <c r="O107" s="33" t="str">
        <f aca="false">IF(C107&lt;&gt;"", L107/(1-M107), "")</f>
        <v/>
      </c>
    </row>
    <row r="108" customFormat="false" ht="12.8" hidden="false" customHeight="false" outlineLevel="0" collapsed="false">
      <c r="A108" s="1" t="s">
        <v>1170</v>
      </c>
      <c r="B108" s="31" t="s">
        <v>1171</v>
      </c>
      <c r="D108" s="32" t="str">
        <f aca="true">IF(C108&lt;&gt;"", SUM(INDEX(INDIRECT("'" &amp; B108 &amp; "'.$A$1:$Z$1000"), 0, MATCH("count", INDIRECT("'" &amp; B108 &amp; "'.$A$1:$Z$1"), 0))), "")</f>
        <v/>
      </c>
      <c r="E108" s="33" t="str">
        <f aca="true">IF(C108&lt;&gt;"", SUM(INDEX(INDIRECT("'" &amp; B108 &amp; "'.$A$1:$Z$1000"), 0, MATCH("cost", INDIRECT("'" &amp; B108 &amp; "'.$A$1:$Z$1"), 0))), "")</f>
        <v/>
      </c>
      <c r="F108" s="40" t="str">
        <f aca="true">IF(C108&lt;&gt;"", SUM(INDEX(INDIRECT("'" &amp; B108 &amp; "'.$A$1:$Z$1000"), 0, MATCH("total_assembly_time_min", INDIRECT("'" &amp; B108 &amp; "'.$A$1:$Z$1"), 0)))/60, "")</f>
        <v/>
      </c>
      <c r="G108" s="33" t="str">
        <f aca="false">IF(C108&lt;&gt;"", values!$B$2, "")</f>
        <v/>
      </c>
      <c r="H108" s="33" t="str">
        <f aca="false">IF(C108&lt;&gt;"", F108*G108, "")</f>
        <v/>
      </c>
      <c r="I108" s="33" t="str">
        <f aca="false">IF(C108&lt;&gt;"", H108+E108, "")</f>
        <v/>
      </c>
      <c r="K108" s="33" t="str">
        <f aca="false">IF(C108&lt;&gt;"", L108-I108, "")</f>
        <v/>
      </c>
      <c r="L108" s="33" t="str">
        <f aca="false">IF(C108&lt;&gt;"", I108/(1-J108), "")</f>
        <v/>
      </c>
      <c r="M108" s="33" t="str">
        <f aca="false">IF(C108&lt;&gt;"", values!$A$2, "")</f>
        <v/>
      </c>
      <c r="N108" s="33" t="str">
        <f aca="false">IF(C108&lt;&gt;"", O108-L108, "")</f>
        <v/>
      </c>
      <c r="O108" s="33" t="str">
        <f aca="false">IF(C108&lt;&gt;"", L108/(1-M108), "")</f>
        <v/>
      </c>
    </row>
    <row r="109" customFormat="false" ht="12.8" hidden="false" customHeight="false" outlineLevel="0" collapsed="false">
      <c r="A109" s="1" t="s">
        <v>1172</v>
      </c>
      <c r="B109" s="31" t="s">
        <v>1173</v>
      </c>
      <c r="D109" s="32" t="str">
        <f aca="true">IF(C109&lt;&gt;"", SUM(INDEX(INDIRECT("'" &amp; B109 &amp; "'.$A$1:$Z$1000"), 0, MATCH("count", INDIRECT("'" &amp; B109 &amp; "'.$A$1:$Z$1"), 0))), "")</f>
        <v/>
      </c>
      <c r="E109" s="33" t="str">
        <f aca="true">IF(C109&lt;&gt;"", SUM(INDEX(INDIRECT("'" &amp; B109 &amp; "'.$A$1:$Z$1000"), 0, MATCH("cost", INDIRECT("'" &amp; B109 &amp; "'.$A$1:$Z$1"), 0))), "")</f>
        <v/>
      </c>
      <c r="F109" s="40" t="str">
        <f aca="true">IF(C109&lt;&gt;"", SUM(INDEX(INDIRECT("'" &amp; B109 &amp; "'.$A$1:$Z$1000"), 0, MATCH("total_assembly_time_min", INDIRECT("'" &amp; B109 &amp; "'.$A$1:$Z$1"), 0)))/60, "")</f>
        <v/>
      </c>
      <c r="G109" s="33" t="str">
        <f aca="false">IF(C109&lt;&gt;"", values!$B$2, "")</f>
        <v/>
      </c>
      <c r="H109" s="33" t="str">
        <f aca="false">IF(C109&lt;&gt;"", F109*G109, "")</f>
        <v/>
      </c>
      <c r="I109" s="33" t="str">
        <f aca="false">IF(C109&lt;&gt;"", H109+E109, "")</f>
        <v/>
      </c>
      <c r="K109" s="33" t="str">
        <f aca="false">IF(C109&lt;&gt;"", L109-I109, "")</f>
        <v/>
      </c>
      <c r="L109" s="33" t="str">
        <f aca="false">IF(C109&lt;&gt;"", I109/(1-J109), "")</f>
        <v/>
      </c>
      <c r="M109" s="33" t="str">
        <f aca="false">IF(C109&lt;&gt;"", values!$A$2, "")</f>
        <v/>
      </c>
      <c r="N109" s="33" t="str">
        <f aca="false">IF(C109&lt;&gt;"", O109-L109, "")</f>
        <v/>
      </c>
      <c r="O109" s="33" t="str">
        <f aca="false">IF(C109&lt;&gt;"", L109/(1-M109), "")</f>
        <v/>
      </c>
    </row>
    <row r="110" customFormat="false" ht="12.8" hidden="false" customHeight="false" outlineLevel="0" collapsed="false">
      <c r="A110" s="1" t="s">
        <v>1174</v>
      </c>
      <c r="B110" s="31" t="s">
        <v>1175</v>
      </c>
      <c r="D110" s="32" t="str">
        <f aca="true">IF(C110&lt;&gt;"", SUM(INDEX(INDIRECT("'" &amp; B110 &amp; "'.$A$1:$Z$1000"), 0, MATCH("count", INDIRECT("'" &amp; B110 &amp; "'.$A$1:$Z$1"), 0))), "")</f>
        <v/>
      </c>
      <c r="E110" s="33" t="str">
        <f aca="true">IF(C110&lt;&gt;"", SUM(INDEX(INDIRECT("'" &amp; B110 &amp; "'.$A$1:$Z$1000"), 0, MATCH("cost", INDIRECT("'" &amp; B110 &amp; "'.$A$1:$Z$1"), 0))), "")</f>
        <v/>
      </c>
      <c r="F110" s="40" t="str">
        <f aca="true">IF(C110&lt;&gt;"", SUM(INDEX(INDIRECT("'" &amp; B110 &amp; "'.$A$1:$Z$1000"), 0, MATCH("total_assembly_time_min", INDIRECT("'" &amp; B110 &amp; "'.$A$1:$Z$1"), 0)))/60, "")</f>
        <v/>
      </c>
      <c r="G110" s="33" t="str">
        <f aca="false">IF(C110&lt;&gt;"", values!$B$2, "")</f>
        <v/>
      </c>
      <c r="H110" s="33" t="str">
        <f aca="false">IF(C110&lt;&gt;"", F110*G110, "")</f>
        <v/>
      </c>
      <c r="I110" s="33" t="str">
        <f aca="false">IF(C110&lt;&gt;"", H110+E110, "")</f>
        <v/>
      </c>
      <c r="K110" s="33" t="str">
        <f aca="false">IF(C110&lt;&gt;"", L110-I110, "")</f>
        <v/>
      </c>
      <c r="L110" s="33" t="str">
        <f aca="false">IF(C110&lt;&gt;"", I110/(1-J110), "")</f>
        <v/>
      </c>
      <c r="M110" s="33" t="str">
        <f aca="false">IF(C110&lt;&gt;"", values!$A$2, "")</f>
        <v/>
      </c>
      <c r="N110" s="33" t="str">
        <f aca="false">IF(C110&lt;&gt;"", O110-L110, "")</f>
        <v/>
      </c>
      <c r="O110" s="33" t="str">
        <f aca="false">IF(C110&lt;&gt;"", L110/(1-M110), "")</f>
        <v/>
      </c>
    </row>
    <row r="111" customFormat="false" ht="12.8" hidden="false" customHeight="false" outlineLevel="0" collapsed="false">
      <c r="A111" s="1" t="s">
        <v>1176</v>
      </c>
      <c r="B111" s="31" t="s">
        <v>1177</v>
      </c>
      <c r="D111" s="32" t="str">
        <f aca="true">IF(C111&lt;&gt;"", SUM(INDEX(INDIRECT("'" &amp; B111 &amp; "'.$A$1:$Z$1000"), 0, MATCH("count", INDIRECT("'" &amp; B111 &amp; "'.$A$1:$Z$1"), 0))), "")</f>
        <v/>
      </c>
      <c r="E111" s="33" t="str">
        <f aca="true">IF(C111&lt;&gt;"", SUM(INDEX(INDIRECT("'" &amp; B111 &amp; "'.$A$1:$Z$1000"), 0, MATCH("cost", INDIRECT("'" &amp; B111 &amp; "'.$A$1:$Z$1"), 0))), "")</f>
        <v/>
      </c>
      <c r="F111" s="40" t="str">
        <f aca="true">IF(C111&lt;&gt;"", SUM(INDEX(INDIRECT("'" &amp; B111 &amp; "'.$A$1:$Z$1000"), 0, MATCH("total_assembly_time_min", INDIRECT("'" &amp; B111 &amp; "'.$A$1:$Z$1"), 0)))/60, "")</f>
        <v/>
      </c>
      <c r="G111" s="33" t="str">
        <f aca="false">IF(C111&lt;&gt;"", values!$B$2, "")</f>
        <v/>
      </c>
      <c r="H111" s="33" t="str">
        <f aca="false">IF(C111&lt;&gt;"", F111*G111, "")</f>
        <v/>
      </c>
      <c r="I111" s="33" t="str">
        <f aca="false">IF(C111&lt;&gt;"", H111+E111, "")</f>
        <v/>
      </c>
      <c r="K111" s="33" t="str">
        <f aca="false">IF(C111&lt;&gt;"", L111-I111, "")</f>
        <v/>
      </c>
      <c r="L111" s="33" t="str">
        <f aca="false">IF(C111&lt;&gt;"", I111/(1-J111), "")</f>
        <v/>
      </c>
      <c r="M111" s="33" t="str">
        <f aca="false">IF(C111&lt;&gt;"", values!$A$2, "")</f>
        <v/>
      </c>
      <c r="N111" s="33" t="str">
        <f aca="false">IF(C111&lt;&gt;"", O111-L111, "")</f>
        <v/>
      </c>
      <c r="O111" s="33" t="str">
        <f aca="false">IF(C111&lt;&gt;"", L111/(1-M111), "")</f>
        <v/>
      </c>
    </row>
    <row r="112" customFormat="false" ht="12.8" hidden="false" customHeight="false" outlineLevel="0" collapsed="false">
      <c r="A112" s="1" t="s">
        <v>1178</v>
      </c>
      <c r="B112" s="31" t="s">
        <v>1179</v>
      </c>
      <c r="D112" s="32" t="str">
        <f aca="true">IF(C112&lt;&gt;"", SUM(INDEX(INDIRECT("'" &amp; B112 &amp; "'.$A$1:$Z$1000"), 0, MATCH("count", INDIRECT("'" &amp; B112 &amp; "'.$A$1:$Z$1"), 0))), "")</f>
        <v/>
      </c>
      <c r="E112" s="33" t="str">
        <f aca="true">IF(C112&lt;&gt;"", SUM(INDEX(INDIRECT("'" &amp; B112 &amp; "'.$A$1:$Z$1000"), 0, MATCH("cost", INDIRECT("'" &amp; B112 &amp; "'.$A$1:$Z$1"), 0))), "")</f>
        <v/>
      </c>
      <c r="F112" s="40" t="str">
        <f aca="true">IF(C112&lt;&gt;"", SUM(INDEX(INDIRECT("'" &amp; B112 &amp; "'.$A$1:$Z$1000"), 0, MATCH("total_assembly_time_min", INDIRECT("'" &amp; B112 &amp; "'.$A$1:$Z$1"), 0)))/60, "")</f>
        <v/>
      </c>
      <c r="G112" s="33" t="str">
        <f aca="false">IF(C112&lt;&gt;"", values!$B$2, "")</f>
        <v/>
      </c>
      <c r="H112" s="33" t="str">
        <f aca="false">IF(C112&lt;&gt;"", F112*G112, "")</f>
        <v/>
      </c>
      <c r="I112" s="33" t="str">
        <f aca="false">IF(C112&lt;&gt;"", H112+E112, "")</f>
        <v/>
      </c>
      <c r="K112" s="33" t="str">
        <f aca="false">IF(C112&lt;&gt;"", L112-I112, "")</f>
        <v/>
      </c>
      <c r="L112" s="33" t="str">
        <f aca="false">IF(C112&lt;&gt;"", I112/(1-J112), "")</f>
        <v/>
      </c>
      <c r="M112" s="33" t="str">
        <f aca="false">IF(C112&lt;&gt;"", values!$A$2, "")</f>
        <v/>
      </c>
      <c r="N112" s="33" t="str">
        <f aca="false">IF(C112&lt;&gt;"", O112-L112, "")</f>
        <v/>
      </c>
      <c r="O112" s="33" t="str">
        <f aca="false">IF(C112&lt;&gt;"", L112/(1-M112), "")</f>
        <v/>
      </c>
    </row>
    <row r="113" customFormat="false" ht="12.8" hidden="false" customHeight="false" outlineLevel="0" collapsed="false">
      <c r="A113" s="1" t="s">
        <v>1180</v>
      </c>
      <c r="B113" s="31" t="s">
        <v>1181</v>
      </c>
      <c r="D113" s="32" t="str">
        <f aca="true">IF(C113&lt;&gt;"", SUM(INDEX(INDIRECT("'" &amp; B113 &amp; "'.$A$1:$Z$1000"), 0, MATCH("count", INDIRECT("'" &amp; B113 &amp; "'.$A$1:$Z$1"), 0))), "")</f>
        <v/>
      </c>
      <c r="E113" s="33" t="str">
        <f aca="true">IF(C113&lt;&gt;"", SUM(INDEX(INDIRECT("'" &amp; B113 &amp; "'.$A$1:$Z$1000"), 0, MATCH("cost", INDIRECT("'" &amp; B113 &amp; "'.$A$1:$Z$1"), 0))), "")</f>
        <v/>
      </c>
      <c r="F113" s="40" t="str">
        <f aca="true">IF(C113&lt;&gt;"", SUM(INDEX(INDIRECT("'" &amp; B113 &amp; "'.$A$1:$Z$1000"), 0, MATCH("total_assembly_time_min", INDIRECT("'" &amp; B113 &amp; "'.$A$1:$Z$1"), 0)))/60, "")</f>
        <v/>
      </c>
      <c r="G113" s="33" t="str">
        <f aca="false">IF(C113&lt;&gt;"", values!$B$2, "")</f>
        <v/>
      </c>
      <c r="H113" s="33" t="str">
        <f aca="false">IF(C113&lt;&gt;"", F113*G113, "")</f>
        <v/>
      </c>
      <c r="I113" s="33" t="str">
        <f aca="false">IF(C113&lt;&gt;"", H113+E113, "")</f>
        <v/>
      </c>
      <c r="K113" s="33" t="str">
        <f aca="false">IF(C113&lt;&gt;"", L113-I113, "")</f>
        <v/>
      </c>
      <c r="L113" s="33" t="str">
        <f aca="false">IF(C113&lt;&gt;"", I113/(1-J113), "")</f>
        <v/>
      </c>
      <c r="M113" s="33" t="str">
        <f aca="false">IF(C113&lt;&gt;"", values!$A$2, "")</f>
        <v/>
      </c>
      <c r="N113" s="33" t="str">
        <f aca="false">IF(C113&lt;&gt;"", O113-L113, "")</f>
        <v/>
      </c>
      <c r="O113" s="33" t="str">
        <f aca="false">IF(C113&lt;&gt;"", L113/(1-M113), "")</f>
        <v/>
      </c>
    </row>
    <row r="114" customFormat="false" ht="12.8" hidden="false" customHeight="false" outlineLevel="0" collapsed="false">
      <c r="A114" s="1" t="s">
        <v>1182</v>
      </c>
      <c r="B114" s="31" t="s">
        <v>1183</v>
      </c>
      <c r="D114" s="32" t="str">
        <f aca="true">IF(C114&lt;&gt;"", SUM(INDEX(INDIRECT("'" &amp; B114 &amp; "'.$A$1:$Z$1000"), 0, MATCH("count", INDIRECT("'" &amp; B114 &amp; "'.$A$1:$Z$1"), 0))), "")</f>
        <v/>
      </c>
      <c r="E114" s="33" t="str">
        <f aca="true">IF(C114&lt;&gt;"", SUM(INDEX(INDIRECT("'" &amp; B114 &amp; "'.$A$1:$Z$1000"), 0, MATCH("cost", INDIRECT("'" &amp; B114 &amp; "'.$A$1:$Z$1"), 0))), "")</f>
        <v/>
      </c>
      <c r="F114" s="40" t="str">
        <f aca="true">IF(C114&lt;&gt;"", SUM(INDEX(INDIRECT("'" &amp; B114 &amp; "'.$A$1:$Z$1000"), 0, MATCH("total_assembly_time_min", INDIRECT("'" &amp; B114 &amp; "'.$A$1:$Z$1"), 0)))/60, "")</f>
        <v/>
      </c>
      <c r="G114" s="33" t="str">
        <f aca="false">IF(C114&lt;&gt;"", values!$B$2, "")</f>
        <v/>
      </c>
      <c r="H114" s="33" t="str">
        <f aca="false">IF(C114&lt;&gt;"", F114*G114, "")</f>
        <v/>
      </c>
      <c r="I114" s="33" t="str">
        <f aca="false">IF(C114&lt;&gt;"", H114+E114, "")</f>
        <v/>
      </c>
      <c r="K114" s="33" t="str">
        <f aca="false">IF(C114&lt;&gt;"", L114-I114, "")</f>
        <v/>
      </c>
      <c r="L114" s="33" t="str">
        <f aca="false">IF(C114&lt;&gt;"", I114/(1-J114), "")</f>
        <v/>
      </c>
      <c r="M114" s="33" t="str">
        <f aca="false">IF(C114&lt;&gt;"", values!$A$2, "")</f>
        <v/>
      </c>
      <c r="N114" s="33" t="str">
        <f aca="false">IF(C114&lt;&gt;"", O114-L114, "")</f>
        <v/>
      </c>
      <c r="O114" s="33" t="str">
        <f aca="false">IF(C114&lt;&gt;"", L114/(1-M114), "")</f>
        <v/>
      </c>
    </row>
    <row r="115" customFormat="false" ht="12.8" hidden="false" customHeight="false" outlineLevel="0" collapsed="false">
      <c r="A115" s="1" t="s">
        <v>1184</v>
      </c>
      <c r="B115" s="31" t="s">
        <v>1185</v>
      </c>
      <c r="D115" s="32" t="str">
        <f aca="true">IF(C115&lt;&gt;"", SUM(INDEX(INDIRECT("'" &amp; B115 &amp; "'.$A$1:$Z$1000"), 0, MATCH("count", INDIRECT("'" &amp; B115 &amp; "'.$A$1:$Z$1"), 0))), "")</f>
        <v/>
      </c>
      <c r="E115" s="33" t="str">
        <f aca="true">IF(C115&lt;&gt;"", SUM(INDEX(INDIRECT("'" &amp; B115 &amp; "'.$A$1:$Z$1000"), 0, MATCH("cost", INDIRECT("'" &amp; B115 &amp; "'.$A$1:$Z$1"), 0))), "")</f>
        <v/>
      </c>
      <c r="F115" s="40" t="str">
        <f aca="true">IF(C115&lt;&gt;"", SUM(INDEX(INDIRECT("'" &amp; B115 &amp; "'.$A$1:$Z$1000"), 0, MATCH("total_assembly_time_min", INDIRECT("'" &amp; B115 &amp; "'.$A$1:$Z$1"), 0)))/60, "")</f>
        <v/>
      </c>
      <c r="G115" s="33" t="str">
        <f aca="false">IF(C115&lt;&gt;"", values!$B$2, "")</f>
        <v/>
      </c>
      <c r="H115" s="33" t="str">
        <f aca="false">IF(C115&lt;&gt;"", F115*G115, "")</f>
        <v/>
      </c>
      <c r="I115" s="33" t="str">
        <f aca="false">IF(C115&lt;&gt;"", H115+E115, "")</f>
        <v/>
      </c>
      <c r="K115" s="33" t="str">
        <f aca="false">IF(C115&lt;&gt;"", L115-I115, "")</f>
        <v/>
      </c>
      <c r="L115" s="33" t="str">
        <f aca="false">IF(C115&lt;&gt;"", I115/(1-J115), "")</f>
        <v/>
      </c>
      <c r="M115" s="33" t="str">
        <f aca="false">IF(C115&lt;&gt;"", values!$A$2, "")</f>
        <v/>
      </c>
      <c r="N115" s="33" t="str">
        <f aca="false">IF(C115&lt;&gt;"", O115-L115, "")</f>
        <v/>
      </c>
      <c r="O115" s="33" t="str">
        <f aca="false">IF(C115&lt;&gt;"", L115/(1-M115), "")</f>
        <v/>
      </c>
    </row>
    <row r="116" customFormat="false" ht="12.8" hidden="false" customHeight="false" outlineLevel="0" collapsed="false">
      <c r="A116" s="1" t="s">
        <v>1186</v>
      </c>
      <c r="B116" s="31" t="s">
        <v>1187</v>
      </c>
      <c r="D116" s="32" t="str">
        <f aca="true">IF(C116&lt;&gt;"", SUM(INDEX(INDIRECT("'" &amp; B116 &amp; "'.$A$1:$Z$1000"), 0, MATCH("count", INDIRECT("'" &amp; B116 &amp; "'.$A$1:$Z$1"), 0))), "")</f>
        <v/>
      </c>
      <c r="E116" s="33" t="str">
        <f aca="true">IF(C116&lt;&gt;"", SUM(INDEX(INDIRECT("'" &amp; B116 &amp; "'.$A$1:$Z$1000"), 0, MATCH("cost", INDIRECT("'" &amp; B116 &amp; "'.$A$1:$Z$1"), 0))), "")</f>
        <v/>
      </c>
      <c r="F116" s="40" t="str">
        <f aca="true">IF(C116&lt;&gt;"", SUM(INDEX(INDIRECT("'" &amp; B116 &amp; "'.$A$1:$Z$1000"), 0, MATCH("total_assembly_time_min", INDIRECT("'" &amp; B116 &amp; "'.$A$1:$Z$1"), 0)))/60, "")</f>
        <v/>
      </c>
      <c r="G116" s="33" t="str">
        <f aca="false">IF(C116&lt;&gt;"", values!$B$2, "")</f>
        <v/>
      </c>
      <c r="H116" s="33" t="str">
        <f aca="false">IF(C116&lt;&gt;"", F116*G116, "")</f>
        <v/>
      </c>
      <c r="I116" s="33" t="str">
        <f aca="false">IF(C116&lt;&gt;"", H116+E116, "")</f>
        <v/>
      </c>
      <c r="K116" s="33" t="str">
        <f aca="false">IF(C116&lt;&gt;"", L116-I116, "")</f>
        <v/>
      </c>
      <c r="L116" s="33" t="str">
        <f aca="false">IF(C116&lt;&gt;"", I116/(1-J116), "")</f>
        <v/>
      </c>
      <c r="M116" s="33" t="str">
        <f aca="false">IF(C116&lt;&gt;"", values!$A$2, "")</f>
        <v/>
      </c>
      <c r="N116" s="33" t="str">
        <f aca="false">IF(C116&lt;&gt;"", O116-L116, "")</f>
        <v/>
      </c>
      <c r="O116" s="33" t="str">
        <f aca="false">IF(C116&lt;&gt;"", L116/(1-M116), "")</f>
        <v/>
      </c>
    </row>
    <row r="117" customFormat="false" ht="12.8" hidden="false" customHeight="false" outlineLevel="0" collapsed="false">
      <c r="A117" s="1" t="s">
        <v>1188</v>
      </c>
      <c r="B117" s="31" t="s">
        <v>1189</v>
      </c>
      <c r="D117" s="32" t="str">
        <f aca="true">IF(C117&lt;&gt;"", SUM(INDEX(INDIRECT("'" &amp; B117 &amp; "'.$A$1:$Z$1000"), 0, MATCH("count", INDIRECT("'" &amp; B117 &amp; "'.$A$1:$Z$1"), 0))), "")</f>
        <v/>
      </c>
      <c r="E117" s="33" t="str">
        <f aca="true">IF(C117&lt;&gt;"", SUM(INDEX(INDIRECT("'" &amp; B117 &amp; "'.$A$1:$Z$1000"), 0, MATCH("cost", INDIRECT("'" &amp; B117 &amp; "'.$A$1:$Z$1"), 0))), "")</f>
        <v/>
      </c>
      <c r="F117" s="40" t="str">
        <f aca="true">IF(C117&lt;&gt;"", SUM(INDEX(INDIRECT("'" &amp; B117 &amp; "'.$A$1:$Z$1000"), 0, MATCH("total_assembly_time_min", INDIRECT("'" &amp; B117 &amp; "'.$A$1:$Z$1"), 0)))/60, "")</f>
        <v/>
      </c>
      <c r="G117" s="33" t="str">
        <f aca="false">IF(C117&lt;&gt;"", values!$B$2, "")</f>
        <v/>
      </c>
      <c r="H117" s="33" t="str">
        <f aca="false">IF(C117&lt;&gt;"", F117*G117, "")</f>
        <v/>
      </c>
      <c r="I117" s="33" t="str">
        <f aca="false">IF(C117&lt;&gt;"", H117+E117, "")</f>
        <v/>
      </c>
      <c r="K117" s="33" t="str">
        <f aca="false">IF(C117&lt;&gt;"", L117-I117, "")</f>
        <v/>
      </c>
      <c r="L117" s="33" t="str">
        <f aca="false">IF(C117&lt;&gt;"", I117/(1-J117), "")</f>
        <v/>
      </c>
      <c r="M117" s="33" t="str">
        <f aca="false">IF(C117&lt;&gt;"", values!$A$2, "")</f>
        <v/>
      </c>
      <c r="N117" s="33" t="str">
        <f aca="false">IF(C117&lt;&gt;"", O117-L117, "")</f>
        <v/>
      </c>
      <c r="O117" s="33" t="str">
        <f aca="false">IF(C117&lt;&gt;"", L117/(1-M117), "")</f>
        <v/>
      </c>
    </row>
    <row r="118" customFormat="false" ht="12.8" hidden="false" customHeight="false" outlineLevel="0" collapsed="false">
      <c r="A118" s="1" t="s">
        <v>1190</v>
      </c>
      <c r="B118" s="31" t="s">
        <v>1191</v>
      </c>
      <c r="D118" s="32" t="str">
        <f aca="true">IF(C118&lt;&gt;"", SUM(INDEX(INDIRECT("'" &amp; B118 &amp; "'.$A$1:$Z$1000"), 0, MATCH("count", INDIRECT("'" &amp; B118 &amp; "'.$A$1:$Z$1"), 0))), "")</f>
        <v/>
      </c>
      <c r="E118" s="33" t="str">
        <f aca="true">IF(C118&lt;&gt;"", SUM(INDEX(INDIRECT("'" &amp; B118 &amp; "'.$A$1:$Z$1000"), 0, MATCH("cost", INDIRECT("'" &amp; B118 &amp; "'.$A$1:$Z$1"), 0))), "")</f>
        <v/>
      </c>
      <c r="F118" s="40" t="str">
        <f aca="true">IF(C118&lt;&gt;"", SUM(INDEX(INDIRECT("'" &amp; B118 &amp; "'.$A$1:$Z$1000"), 0, MATCH("total_assembly_time_min", INDIRECT("'" &amp; B118 &amp; "'.$A$1:$Z$1"), 0)))/60, "")</f>
        <v/>
      </c>
      <c r="G118" s="33" t="str">
        <f aca="false">IF(C118&lt;&gt;"", values!$B$2, "")</f>
        <v/>
      </c>
      <c r="H118" s="33" t="str">
        <f aca="false">IF(C118&lt;&gt;"", F118*G118, "")</f>
        <v/>
      </c>
      <c r="I118" s="33" t="str">
        <f aca="false">IF(C118&lt;&gt;"", H118+E118, "")</f>
        <v/>
      </c>
      <c r="K118" s="33" t="str">
        <f aca="false">IF(C118&lt;&gt;"", L118-I118, "")</f>
        <v/>
      </c>
      <c r="L118" s="33" t="str">
        <f aca="false">IF(C118&lt;&gt;"", I118/(1-J118), "")</f>
        <v/>
      </c>
      <c r="M118" s="33" t="str">
        <f aca="false">IF(C118&lt;&gt;"", values!$A$2, "")</f>
        <v/>
      </c>
      <c r="N118" s="33" t="str">
        <f aca="false">IF(C118&lt;&gt;"", O118-L118, "")</f>
        <v/>
      </c>
      <c r="O118" s="33" t="str">
        <f aca="false">IF(C118&lt;&gt;"", L118/(1-M118), "")</f>
        <v/>
      </c>
    </row>
    <row r="119" customFormat="false" ht="12.8" hidden="false" customHeight="false" outlineLevel="0" collapsed="false">
      <c r="A119" s="1" t="s">
        <v>1192</v>
      </c>
      <c r="B119" s="31" t="s">
        <v>1193</v>
      </c>
      <c r="D119" s="32" t="str">
        <f aca="true">IF(C119&lt;&gt;"", SUM(INDEX(INDIRECT("'" &amp; B119 &amp; "'.$A$1:$Z$1000"), 0, MATCH("count", INDIRECT("'" &amp; B119 &amp; "'.$A$1:$Z$1"), 0))), "")</f>
        <v/>
      </c>
      <c r="E119" s="33" t="str">
        <f aca="true">IF(C119&lt;&gt;"", SUM(INDEX(INDIRECT("'" &amp; B119 &amp; "'.$A$1:$Z$1000"), 0, MATCH("cost", INDIRECT("'" &amp; B119 &amp; "'.$A$1:$Z$1"), 0))), "")</f>
        <v/>
      </c>
      <c r="F119" s="40" t="str">
        <f aca="true">IF(C119&lt;&gt;"", SUM(INDEX(INDIRECT("'" &amp; B119 &amp; "'.$A$1:$Z$1000"), 0, MATCH("total_assembly_time_min", INDIRECT("'" &amp; B119 &amp; "'.$A$1:$Z$1"), 0)))/60, "")</f>
        <v/>
      </c>
      <c r="G119" s="33" t="str">
        <f aca="false">IF(C119&lt;&gt;"", values!$B$2, "")</f>
        <v/>
      </c>
      <c r="H119" s="33" t="str">
        <f aca="false">IF(C119&lt;&gt;"", F119*G119, "")</f>
        <v/>
      </c>
      <c r="I119" s="33" t="str">
        <f aca="false">IF(C119&lt;&gt;"", H119+E119, "")</f>
        <v/>
      </c>
      <c r="K119" s="33" t="str">
        <f aca="false">IF(C119&lt;&gt;"", L119-I119, "")</f>
        <v/>
      </c>
      <c r="L119" s="33" t="str">
        <f aca="false">IF(C119&lt;&gt;"", I119/(1-J119), "")</f>
        <v/>
      </c>
      <c r="M119" s="33" t="str">
        <f aca="false">IF(C119&lt;&gt;"", values!$A$2, "")</f>
        <v/>
      </c>
      <c r="N119" s="33" t="str">
        <f aca="false">IF(C119&lt;&gt;"", O119-L119, "")</f>
        <v/>
      </c>
      <c r="O119" s="33" t="str">
        <f aca="false">IF(C119&lt;&gt;"", L119/(1-M119), "")</f>
        <v/>
      </c>
    </row>
    <row r="120" customFormat="false" ht="12.8" hidden="false" customHeight="false" outlineLevel="0" collapsed="false">
      <c r="A120" s="1" t="s">
        <v>1194</v>
      </c>
      <c r="B120" s="31" t="s">
        <v>1195</v>
      </c>
      <c r="D120" s="32" t="str">
        <f aca="true">IF(C120&lt;&gt;"", SUM(INDEX(INDIRECT("'" &amp; B120 &amp; "'.$A$1:$Z$1000"), 0, MATCH("count", INDIRECT("'" &amp; B120 &amp; "'.$A$1:$Z$1"), 0))), "")</f>
        <v/>
      </c>
      <c r="E120" s="33" t="str">
        <f aca="true">IF(C120&lt;&gt;"", SUM(INDEX(INDIRECT("'" &amp; B120 &amp; "'.$A$1:$Z$1000"), 0, MATCH("cost", INDIRECT("'" &amp; B120 &amp; "'.$A$1:$Z$1"), 0))), "")</f>
        <v/>
      </c>
      <c r="F120" s="40" t="str">
        <f aca="true">IF(C120&lt;&gt;"", SUM(INDEX(INDIRECT("'" &amp; B120 &amp; "'.$A$1:$Z$1000"), 0, MATCH("total_assembly_time_min", INDIRECT("'" &amp; B120 &amp; "'.$A$1:$Z$1"), 0)))/60, "")</f>
        <v/>
      </c>
      <c r="G120" s="33" t="str">
        <f aca="false">IF(C120&lt;&gt;"", values!$B$2, "")</f>
        <v/>
      </c>
      <c r="H120" s="33" t="str">
        <f aca="false">IF(C120&lt;&gt;"", F120*G120, "")</f>
        <v/>
      </c>
      <c r="I120" s="33" t="str">
        <f aca="false">IF(C120&lt;&gt;"", H120+E120, "")</f>
        <v/>
      </c>
      <c r="K120" s="33" t="str">
        <f aca="false">IF(C120&lt;&gt;"", L120-I120, "")</f>
        <v/>
      </c>
      <c r="L120" s="33" t="str">
        <f aca="false">IF(C120&lt;&gt;"", I120/(1-J120), "")</f>
        <v/>
      </c>
      <c r="M120" s="33" t="str">
        <f aca="false">IF(C120&lt;&gt;"", values!$A$2, "")</f>
        <v/>
      </c>
      <c r="N120" s="33" t="str">
        <f aca="false">IF(C120&lt;&gt;"", O120-L120, "")</f>
        <v/>
      </c>
      <c r="O120" s="33" t="str">
        <f aca="false">IF(C120&lt;&gt;"", L120/(1-M120), "")</f>
        <v/>
      </c>
    </row>
    <row r="121" customFormat="false" ht="12.8" hidden="false" customHeight="false" outlineLevel="0" collapsed="false">
      <c r="A121" s="1" t="s">
        <v>1196</v>
      </c>
      <c r="B121" s="31" t="s">
        <v>1197</v>
      </c>
      <c r="D121" s="32" t="str">
        <f aca="true">IF(C121&lt;&gt;"", SUM(INDEX(INDIRECT("'" &amp; B121 &amp; "'.$A$1:$Z$1000"), 0, MATCH("count", INDIRECT("'" &amp; B121 &amp; "'.$A$1:$Z$1"), 0))), "")</f>
        <v/>
      </c>
      <c r="E121" s="33" t="str">
        <f aca="true">IF(C121&lt;&gt;"", SUM(INDEX(INDIRECT("'" &amp; B121 &amp; "'.$A$1:$Z$1000"), 0, MATCH("cost", INDIRECT("'" &amp; B121 &amp; "'.$A$1:$Z$1"), 0))), "")</f>
        <v/>
      </c>
      <c r="F121" s="40" t="str">
        <f aca="true">IF(C121&lt;&gt;"", SUM(INDEX(INDIRECT("'" &amp; B121 &amp; "'.$A$1:$Z$1000"), 0, MATCH("total_assembly_time_min", INDIRECT("'" &amp; B121 &amp; "'.$A$1:$Z$1"), 0)))/60, "")</f>
        <v/>
      </c>
      <c r="G121" s="33" t="str">
        <f aca="false">IF(C121&lt;&gt;"", values!$B$2, "")</f>
        <v/>
      </c>
      <c r="H121" s="33" t="str">
        <f aca="false">IF(C121&lt;&gt;"", F121*G121, "")</f>
        <v/>
      </c>
      <c r="I121" s="33" t="str">
        <f aca="false">IF(C121&lt;&gt;"", H121+E121, "")</f>
        <v/>
      </c>
      <c r="K121" s="33" t="str">
        <f aca="false">IF(C121&lt;&gt;"", L121-I121, "")</f>
        <v/>
      </c>
      <c r="L121" s="33" t="str">
        <f aca="false">IF(C121&lt;&gt;"", I121/(1-J121), "")</f>
        <v/>
      </c>
      <c r="M121" s="33" t="str">
        <f aca="false">IF(C121&lt;&gt;"", values!$A$2, "")</f>
        <v/>
      </c>
      <c r="N121" s="33" t="str">
        <f aca="false">IF(C121&lt;&gt;"", O121-L121, "")</f>
        <v/>
      </c>
      <c r="O121" s="33" t="str">
        <f aca="false">IF(C121&lt;&gt;"", L121/(1-M121), "")</f>
        <v/>
      </c>
    </row>
    <row r="122" customFormat="false" ht="12.8" hidden="false" customHeight="false" outlineLevel="0" collapsed="false">
      <c r="A122" s="1" t="s">
        <v>1198</v>
      </c>
      <c r="B122" s="31" t="s">
        <v>1199</v>
      </c>
      <c r="D122" s="32" t="str">
        <f aca="true">IF(C122&lt;&gt;"", SUM(INDEX(INDIRECT("'" &amp; B122 &amp; "'.$A$1:$Z$1000"), 0, MATCH("count", INDIRECT("'" &amp; B122 &amp; "'.$A$1:$Z$1"), 0))), "")</f>
        <v/>
      </c>
      <c r="E122" s="33" t="str">
        <f aca="true">IF(C122&lt;&gt;"", SUM(INDEX(INDIRECT("'" &amp; B122 &amp; "'.$A$1:$Z$1000"), 0, MATCH("cost", INDIRECT("'" &amp; B122 &amp; "'.$A$1:$Z$1"), 0))), "")</f>
        <v/>
      </c>
      <c r="F122" s="40" t="str">
        <f aca="true">IF(C122&lt;&gt;"", SUM(INDEX(INDIRECT("'" &amp; B122 &amp; "'.$A$1:$Z$1000"), 0, MATCH("total_assembly_time_min", INDIRECT("'" &amp; B122 &amp; "'.$A$1:$Z$1"), 0)))/60, "")</f>
        <v/>
      </c>
      <c r="G122" s="33" t="str">
        <f aca="false">IF(C122&lt;&gt;"", values!$B$2, "")</f>
        <v/>
      </c>
      <c r="H122" s="33" t="str">
        <f aca="false">IF(C122&lt;&gt;"", F122*G122, "")</f>
        <v/>
      </c>
      <c r="I122" s="33" t="str">
        <f aca="false">IF(C122&lt;&gt;"", H122+E122, "")</f>
        <v/>
      </c>
      <c r="K122" s="33" t="str">
        <f aca="false">IF(C122&lt;&gt;"", L122-I122, "")</f>
        <v/>
      </c>
      <c r="L122" s="33" t="str">
        <f aca="false">IF(C122&lt;&gt;"", I122/(1-J122), "")</f>
        <v/>
      </c>
      <c r="M122" s="33" t="str">
        <f aca="false">IF(C122&lt;&gt;"", values!$A$2, "")</f>
        <v/>
      </c>
      <c r="N122" s="33" t="str">
        <f aca="false">IF(C122&lt;&gt;"", O122-L122, "")</f>
        <v/>
      </c>
      <c r="O122" s="33" t="str">
        <f aca="false">IF(C122&lt;&gt;"", L122/(1-M122), "")</f>
        <v/>
      </c>
    </row>
    <row r="123" customFormat="false" ht="12.8" hidden="false" customHeight="false" outlineLevel="0" collapsed="false">
      <c r="A123" s="1" t="s">
        <v>1200</v>
      </c>
      <c r="B123" s="31" t="s">
        <v>1201</v>
      </c>
      <c r="D123" s="32" t="str">
        <f aca="true">IF(C123&lt;&gt;"", SUM(INDEX(INDIRECT("'" &amp; B123 &amp; "'.$A$1:$Z$1000"), 0, MATCH("count", INDIRECT("'" &amp; B123 &amp; "'.$A$1:$Z$1"), 0))), "")</f>
        <v/>
      </c>
      <c r="E123" s="33" t="str">
        <f aca="true">IF(C123&lt;&gt;"", SUM(INDEX(INDIRECT("'" &amp; B123 &amp; "'.$A$1:$Z$1000"), 0, MATCH("cost", INDIRECT("'" &amp; B123 &amp; "'.$A$1:$Z$1"), 0))), "")</f>
        <v/>
      </c>
      <c r="F123" s="40" t="str">
        <f aca="true">IF(C123&lt;&gt;"", SUM(INDEX(INDIRECT("'" &amp; B123 &amp; "'.$A$1:$Z$1000"), 0, MATCH("total_assembly_time_min", INDIRECT("'" &amp; B123 &amp; "'.$A$1:$Z$1"), 0)))/60, "")</f>
        <v/>
      </c>
      <c r="G123" s="33" t="str">
        <f aca="false">IF(C123&lt;&gt;"", values!$B$2, "")</f>
        <v/>
      </c>
      <c r="H123" s="33" t="str">
        <f aca="false">IF(C123&lt;&gt;"", F123*G123, "")</f>
        <v/>
      </c>
      <c r="I123" s="33" t="str">
        <f aca="false">IF(C123&lt;&gt;"", H123+E123, "")</f>
        <v/>
      </c>
      <c r="K123" s="33" t="str">
        <f aca="false">IF(C123&lt;&gt;"", L123-I123, "")</f>
        <v/>
      </c>
      <c r="L123" s="33" t="str">
        <f aca="false">IF(C123&lt;&gt;"", I123/(1-J123), "")</f>
        <v/>
      </c>
      <c r="M123" s="33" t="str">
        <f aca="false">IF(C123&lt;&gt;"", values!$A$2, "")</f>
        <v/>
      </c>
      <c r="N123" s="33" t="str">
        <f aca="false">IF(C123&lt;&gt;"", O123-L123, "")</f>
        <v/>
      </c>
      <c r="O123" s="33" t="str">
        <f aca="false">IF(C123&lt;&gt;"", L123/(1-M123), "")</f>
        <v/>
      </c>
    </row>
    <row r="124" customFormat="false" ht="12.8" hidden="false" customHeight="false" outlineLevel="0" collapsed="false">
      <c r="A124" s="1" t="s">
        <v>1202</v>
      </c>
      <c r="B124" s="31" t="s">
        <v>1203</v>
      </c>
      <c r="D124" s="32" t="str">
        <f aca="true">IF(C124&lt;&gt;"", SUM(INDEX(INDIRECT("'" &amp; B124 &amp; "'.$A$1:$Z$1000"), 0, MATCH("count", INDIRECT("'" &amp; B124 &amp; "'.$A$1:$Z$1"), 0))), "")</f>
        <v/>
      </c>
      <c r="E124" s="33" t="str">
        <f aca="true">IF(C124&lt;&gt;"", SUM(INDEX(INDIRECT("'" &amp; B124 &amp; "'.$A$1:$Z$1000"), 0, MATCH("cost", INDIRECT("'" &amp; B124 &amp; "'.$A$1:$Z$1"), 0))), "")</f>
        <v/>
      </c>
      <c r="F124" s="40" t="str">
        <f aca="true">IF(C124&lt;&gt;"", SUM(INDEX(INDIRECT("'" &amp; B124 &amp; "'.$A$1:$Z$1000"), 0, MATCH("total_assembly_time_min", INDIRECT("'" &amp; B124 &amp; "'.$A$1:$Z$1"), 0)))/60, "")</f>
        <v/>
      </c>
      <c r="G124" s="33" t="str">
        <f aca="false">IF(C124&lt;&gt;"", values!$B$2, "")</f>
        <v/>
      </c>
      <c r="H124" s="33" t="str">
        <f aca="false">IF(C124&lt;&gt;"", F124*G124, "")</f>
        <v/>
      </c>
      <c r="I124" s="33" t="str">
        <f aca="false">IF(C124&lt;&gt;"", H124+E124, "")</f>
        <v/>
      </c>
      <c r="K124" s="33" t="str">
        <f aca="false">IF(C124&lt;&gt;"", L124-I124, "")</f>
        <v/>
      </c>
      <c r="L124" s="33" t="str">
        <f aca="false">IF(C124&lt;&gt;"", I124/(1-J124), "")</f>
        <v/>
      </c>
      <c r="M124" s="33" t="str">
        <f aca="false">IF(C124&lt;&gt;"", values!$A$2, "")</f>
        <v/>
      </c>
      <c r="N124" s="33" t="str">
        <f aca="false">IF(C124&lt;&gt;"", O124-L124, "")</f>
        <v/>
      </c>
      <c r="O124" s="33" t="str">
        <f aca="false">IF(C124&lt;&gt;"", L124/(1-M124), "")</f>
        <v/>
      </c>
    </row>
    <row r="125" customFormat="false" ht="12.8" hidden="false" customHeight="false" outlineLevel="0" collapsed="false">
      <c r="A125" s="1" t="s">
        <v>1204</v>
      </c>
      <c r="B125" s="31" t="s">
        <v>1205</v>
      </c>
      <c r="D125" s="32" t="str">
        <f aca="true">IF(C125&lt;&gt;"", SUM(INDEX(INDIRECT("'" &amp; B125 &amp; "'.$A$1:$Z$1000"), 0, MATCH("count", INDIRECT("'" &amp; B125 &amp; "'.$A$1:$Z$1"), 0))), "")</f>
        <v/>
      </c>
      <c r="E125" s="33" t="str">
        <f aca="true">IF(C125&lt;&gt;"", SUM(INDEX(INDIRECT("'" &amp; B125 &amp; "'.$A$1:$Z$1000"), 0, MATCH("cost", INDIRECT("'" &amp; B125 &amp; "'.$A$1:$Z$1"), 0))), "")</f>
        <v/>
      </c>
      <c r="F125" s="40" t="str">
        <f aca="true">IF(C125&lt;&gt;"", SUM(INDEX(INDIRECT("'" &amp; B125 &amp; "'.$A$1:$Z$1000"), 0, MATCH("total_assembly_time_min", INDIRECT("'" &amp; B125 &amp; "'.$A$1:$Z$1"), 0)))/60, "")</f>
        <v/>
      </c>
      <c r="G125" s="33" t="str">
        <f aca="false">IF(C125&lt;&gt;"", values!$B$2, "")</f>
        <v/>
      </c>
      <c r="H125" s="33" t="str">
        <f aca="false">IF(C125&lt;&gt;"", F125*G125, "")</f>
        <v/>
      </c>
      <c r="I125" s="33" t="str">
        <f aca="false">IF(C125&lt;&gt;"", H125+E125, "")</f>
        <v/>
      </c>
      <c r="K125" s="33" t="str">
        <f aca="false">IF(C125&lt;&gt;"", L125-I125, "")</f>
        <v/>
      </c>
      <c r="L125" s="33" t="str">
        <f aca="false">IF(C125&lt;&gt;"", I125/(1-J125), "")</f>
        <v/>
      </c>
      <c r="M125" s="33" t="str">
        <f aca="false">IF(C125&lt;&gt;"", values!$A$2, "")</f>
        <v/>
      </c>
      <c r="N125" s="33" t="str">
        <f aca="false">IF(C125&lt;&gt;"", O125-L125, "")</f>
        <v/>
      </c>
      <c r="O125" s="33" t="str">
        <f aca="false">IF(C125&lt;&gt;"", L125/(1-M125), "")</f>
        <v/>
      </c>
    </row>
    <row r="126" customFormat="false" ht="12.8" hidden="false" customHeight="false" outlineLevel="0" collapsed="false">
      <c r="A126" s="1" t="s">
        <v>1206</v>
      </c>
      <c r="B126" s="31" t="s">
        <v>1207</v>
      </c>
      <c r="D126" s="32" t="str">
        <f aca="true">IF(C126&lt;&gt;"", SUM(INDEX(INDIRECT("'" &amp; B126 &amp; "'.$A$1:$Z$1000"), 0, MATCH("count", INDIRECT("'" &amp; B126 &amp; "'.$A$1:$Z$1"), 0))), "")</f>
        <v/>
      </c>
      <c r="E126" s="33" t="str">
        <f aca="true">IF(C126&lt;&gt;"", SUM(INDEX(INDIRECT("'" &amp; B126 &amp; "'.$A$1:$Z$1000"), 0, MATCH("cost", INDIRECT("'" &amp; B126 &amp; "'.$A$1:$Z$1"), 0))), "")</f>
        <v/>
      </c>
      <c r="F126" s="40" t="str">
        <f aca="true">IF(C126&lt;&gt;"", SUM(INDEX(INDIRECT("'" &amp; B126 &amp; "'.$A$1:$Z$1000"), 0, MATCH("total_assembly_time_min", INDIRECT("'" &amp; B126 &amp; "'.$A$1:$Z$1"), 0)))/60, "")</f>
        <v/>
      </c>
      <c r="G126" s="33" t="str">
        <f aca="false">IF(C126&lt;&gt;"", values!$B$2, "")</f>
        <v/>
      </c>
      <c r="H126" s="33" t="str">
        <f aca="false">IF(C126&lt;&gt;"", F126*G126, "")</f>
        <v/>
      </c>
      <c r="I126" s="33" t="str">
        <f aca="false">IF(C126&lt;&gt;"", H126+E126, "")</f>
        <v/>
      </c>
      <c r="K126" s="33" t="str">
        <f aca="false">IF(C126&lt;&gt;"", L126-I126, "")</f>
        <v/>
      </c>
      <c r="L126" s="33" t="str">
        <f aca="false">IF(C126&lt;&gt;"", I126/(1-J126), "")</f>
        <v/>
      </c>
      <c r="M126" s="33" t="str">
        <f aca="false">IF(C126&lt;&gt;"", values!$A$2, "")</f>
        <v/>
      </c>
      <c r="N126" s="33" t="str">
        <f aca="false">IF(C126&lt;&gt;"", O126-L126, "")</f>
        <v/>
      </c>
      <c r="O126" s="33" t="str">
        <f aca="false">IF(C126&lt;&gt;"", L126/(1-M126), "")</f>
        <v/>
      </c>
    </row>
    <row r="127" customFormat="false" ht="12.8" hidden="false" customHeight="false" outlineLevel="0" collapsed="false">
      <c r="A127" s="1" t="s">
        <v>1208</v>
      </c>
      <c r="B127" s="31" t="s">
        <v>1209</v>
      </c>
      <c r="D127" s="32" t="str">
        <f aca="true">IF(C127&lt;&gt;"", SUM(INDEX(INDIRECT("'" &amp; B127 &amp; "'.$A$1:$Z$1000"), 0, MATCH("count", INDIRECT("'" &amp; B127 &amp; "'.$A$1:$Z$1"), 0))), "")</f>
        <v/>
      </c>
      <c r="E127" s="33" t="str">
        <f aca="true">IF(C127&lt;&gt;"", SUM(INDEX(INDIRECT("'" &amp; B127 &amp; "'.$A$1:$Z$1000"), 0, MATCH("cost", INDIRECT("'" &amp; B127 &amp; "'.$A$1:$Z$1"), 0))), "")</f>
        <v/>
      </c>
      <c r="F127" s="40" t="str">
        <f aca="true">IF(C127&lt;&gt;"", SUM(INDEX(INDIRECT("'" &amp; B127 &amp; "'.$A$1:$Z$1000"), 0, MATCH("total_assembly_time_min", INDIRECT("'" &amp; B127 &amp; "'.$A$1:$Z$1"), 0)))/60, "")</f>
        <v/>
      </c>
      <c r="G127" s="33" t="str">
        <f aca="false">IF(C127&lt;&gt;"", values!$B$2, "")</f>
        <v/>
      </c>
      <c r="H127" s="33" t="str">
        <f aca="false">IF(C127&lt;&gt;"", F127*G127, "")</f>
        <v/>
      </c>
      <c r="I127" s="33" t="str">
        <f aca="false">IF(C127&lt;&gt;"", H127+E127, "")</f>
        <v/>
      </c>
      <c r="K127" s="33" t="str">
        <f aca="false">IF(C127&lt;&gt;"", L127-I127, "")</f>
        <v/>
      </c>
      <c r="L127" s="33" t="str">
        <f aca="false">IF(C127&lt;&gt;"", I127/(1-J127), "")</f>
        <v/>
      </c>
      <c r="M127" s="33" t="str">
        <f aca="false">IF(C127&lt;&gt;"", values!$A$2, "")</f>
        <v/>
      </c>
      <c r="N127" s="33" t="str">
        <f aca="false">IF(C127&lt;&gt;"", O127-L127, "")</f>
        <v/>
      </c>
      <c r="O127" s="33" t="str">
        <f aca="false">IF(C127&lt;&gt;"", L127/(1-M127), "")</f>
        <v/>
      </c>
    </row>
    <row r="128" customFormat="false" ht="12.8" hidden="false" customHeight="false" outlineLevel="0" collapsed="false">
      <c r="A128" s="1" t="s">
        <v>1210</v>
      </c>
      <c r="B128" s="31" t="s">
        <v>1211</v>
      </c>
      <c r="D128" s="32" t="str">
        <f aca="true">IF(C128&lt;&gt;"", SUM(INDEX(INDIRECT("'" &amp; B128 &amp; "'.$A$1:$Z$1000"), 0, MATCH("count", INDIRECT("'" &amp; B128 &amp; "'.$A$1:$Z$1"), 0))), "")</f>
        <v/>
      </c>
      <c r="E128" s="33" t="str">
        <f aca="true">IF(C128&lt;&gt;"", SUM(INDEX(INDIRECT("'" &amp; B128 &amp; "'.$A$1:$Z$1000"), 0, MATCH("cost", INDIRECT("'" &amp; B128 &amp; "'.$A$1:$Z$1"), 0))), "")</f>
        <v/>
      </c>
      <c r="F128" s="40" t="str">
        <f aca="true">IF(C128&lt;&gt;"", SUM(INDEX(INDIRECT("'" &amp; B128 &amp; "'.$A$1:$Z$1000"), 0, MATCH("total_assembly_time_min", INDIRECT("'" &amp; B128 &amp; "'.$A$1:$Z$1"), 0)))/60, "")</f>
        <v/>
      </c>
      <c r="G128" s="33" t="str">
        <f aca="false">IF(C128&lt;&gt;"", values!$B$2, "")</f>
        <v/>
      </c>
      <c r="H128" s="33" t="str">
        <f aca="false">IF(C128&lt;&gt;"", F128*G128, "")</f>
        <v/>
      </c>
      <c r="I128" s="33" t="str">
        <f aca="false">IF(C128&lt;&gt;"", H128+E128, "")</f>
        <v/>
      </c>
      <c r="K128" s="33" t="str">
        <f aca="false">IF(C128&lt;&gt;"", L128-I128, "")</f>
        <v/>
      </c>
      <c r="L128" s="33" t="str">
        <f aca="false">IF(C128&lt;&gt;"", I128/(1-J128), "")</f>
        <v/>
      </c>
      <c r="M128" s="33" t="str">
        <f aca="false">IF(C128&lt;&gt;"", values!$A$2, "")</f>
        <v/>
      </c>
      <c r="N128" s="33" t="str">
        <f aca="false">IF(C128&lt;&gt;"", O128-L128, "")</f>
        <v/>
      </c>
      <c r="O128" s="33" t="str">
        <f aca="false">IF(C128&lt;&gt;"", L128/(1-M128), "")</f>
        <v/>
      </c>
    </row>
    <row r="129" customFormat="false" ht="12.8" hidden="false" customHeight="false" outlineLevel="0" collapsed="false">
      <c r="A129" s="1" t="s">
        <v>1212</v>
      </c>
      <c r="B129" s="31" t="s">
        <v>1213</v>
      </c>
      <c r="D129" s="32" t="str">
        <f aca="true">IF(C129&lt;&gt;"", SUM(INDEX(INDIRECT("'" &amp; B129 &amp; "'.$A$1:$Z$1000"), 0, MATCH("count", INDIRECT("'" &amp; B129 &amp; "'.$A$1:$Z$1"), 0))), "")</f>
        <v/>
      </c>
      <c r="E129" s="33" t="str">
        <f aca="true">IF(C129&lt;&gt;"", SUM(INDEX(INDIRECT("'" &amp; B129 &amp; "'.$A$1:$Z$1000"), 0, MATCH("cost", INDIRECT("'" &amp; B129 &amp; "'.$A$1:$Z$1"), 0))), "")</f>
        <v/>
      </c>
      <c r="F129" s="40" t="str">
        <f aca="true">IF(C129&lt;&gt;"", SUM(INDEX(INDIRECT("'" &amp; B129 &amp; "'.$A$1:$Z$1000"), 0, MATCH("total_assembly_time_min", INDIRECT("'" &amp; B129 &amp; "'.$A$1:$Z$1"), 0)))/60, "")</f>
        <v/>
      </c>
      <c r="G129" s="33" t="str">
        <f aca="false">IF(C129&lt;&gt;"", values!$B$2, "")</f>
        <v/>
      </c>
      <c r="H129" s="33" t="str">
        <f aca="false">IF(C129&lt;&gt;"", F129*G129, "")</f>
        <v/>
      </c>
      <c r="I129" s="33" t="str">
        <f aca="false">IF(C129&lt;&gt;"", H129+E129, "")</f>
        <v/>
      </c>
      <c r="K129" s="33" t="str">
        <f aca="false">IF(C129&lt;&gt;"", L129-I129, "")</f>
        <v/>
      </c>
      <c r="L129" s="33" t="str">
        <f aca="false">IF(C129&lt;&gt;"", I129/(1-J129), "")</f>
        <v/>
      </c>
      <c r="M129" s="33" t="str">
        <f aca="false">IF(C129&lt;&gt;"", values!$A$2, "")</f>
        <v/>
      </c>
      <c r="N129" s="33" t="str">
        <f aca="false">IF(C129&lt;&gt;"", O129-L129, "")</f>
        <v/>
      </c>
      <c r="O129" s="33" t="str">
        <f aca="false">IF(C129&lt;&gt;"", L129/(1-M129), "")</f>
        <v/>
      </c>
    </row>
    <row r="130" customFormat="false" ht="12.8" hidden="false" customHeight="false" outlineLevel="0" collapsed="false">
      <c r="A130" s="1" t="s">
        <v>1214</v>
      </c>
      <c r="B130" s="31" t="s">
        <v>1215</v>
      </c>
      <c r="D130" s="32" t="str">
        <f aca="true">IF(C130&lt;&gt;"", SUM(INDEX(INDIRECT("'" &amp; B130 &amp; "'.$A$1:$Z$1000"), 0, MATCH("count", INDIRECT("'" &amp; B130 &amp; "'.$A$1:$Z$1"), 0))), "")</f>
        <v/>
      </c>
      <c r="E130" s="33" t="str">
        <f aca="true">IF(C130&lt;&gt;"", SUM(INDEX(INDIRECT("'" &amp; B130 &amp; "'.$A$1:$Z$1000"), 0, MATCH("cost", INDIRECT("'" &amp; B130 &amp; "'.$A$1:$Z$1"), 0))), "")</f>
        <v/>
      </c>
      <c r="F130" s="40" t="str">
        <f aca="true">IF(C130&lt;&gt;"", SUM(INDEX(INDIRECT("'" &amp; B130 &amp; "'.$A$1:$Z$1000"), 0, MATCH("total_assembly_time_min", INDIRECT("'" &amp; B130 &amp; "'.$A$1:$Z$1"), 0)))/60, "")</f>
        <v/>
      </c>
      <c r="G130" s="33" t="str">
        <f aca="false">IF(C130&lt;&gt;"", values!$B$2, "")</f>
        <v/>
      </c>
      <c r="H130" s="33" t="str">
        <f aca="false">IF(C130&lt;&gt;"", F130*G130, "")</f>
        <v/>
      </c>
      <c r="I130" s="33" t="str">
        <f aca="false">IF(C130&lt;&gt;"", H130+E130, "")</f>
        <v/>
      </c>
      <c r="K130" s="33" t="str">
        <f aca="false">IF(C130&lt;&gt;"", L130-I130, "")</f>
        <v/>
      </c>
      <c r="L130" s="33" t="str">
        <f aca="false">IF(C130&lt;&gt;"", I130/(1-J130), "")</f>
        <v/>
      </c>
      <c r="M130" s="33" t="str">
        <f aca="false">IF(C130&lt;&gt;"", values!$A$2, "")</f>
        <v/>
      </c>
      <c r="N130" s="33" t="str">
        <f aca="false">IF(C130&lt;&gt;"", O130-L130, "")</f>
        <v/>
      </c>
      <c r="O130" s="33" t="str">
        <f aca="false">IF(C130&lt;&gt;"", L130/(1-M130), "")</f>
        <v/>
      </c>
    </row>
    <row r="131" customFormat="false" ht="12.8" hidden="false" customHeight="false" outlineLevel="0" collapsed="false">
      <c r="A131" s="1" t="s">
        <v>1216</v>
      </c>
      <c r="B131" s="31" t="s">
        <v>1217</v>
      </c>
      <c r="D131" s="32" t="str">
        <f aca="true">IF(C131&lt;&gt;"", SUM(INDEX(INDIRECT("'" &amp; B131 &amp; "'.$A$1:$Z$1000"), 0, MATCH("count", INDIRECT("'" &amp; B131 &amp; "'.$A$1:$Z$1"), 0))), "")</f>
        <v/>
      </c>
      <c r="E131" s="33" t="str">
        <f aca="true">IF(C131&lt;&gt;"", SUM(INDEX(INDIRECT("'" &amp; B131 &amp; "'.$A$1:$Z$1000"), 0, MATCH("cost", INDIRECT("'" &amp; B131 &amp; "'.$A$1:$Z$1"), 0))), "")</f>
        <v/>
      </c>
      <c r="F131" s="40" t="str">
        <f aca="true">IF(C131&lt;&gt;"", SUM(INDEX(INDIRECT("'" &amp; B131 &amp; "'.$A$1:$Z$1000"), 0, MATCH("total_assembly_time_min", INDIRECT("'" &amp; B131 &amp; "'.$A$1:$Z$1"), 0)))/60, "")</f>
        <v/>
      </c>
      <c r="G131" s="33" t="str">
        <f aca="false">IF(C131&lt;&gt;"", values!$B$2, "")</f>
        <v/>
      </c>
      <c r="H131" s="33" t="str">
        <f aca="false">IF(C131&lt;&gt;"", F131*G131, "")</f>
        <v/>
      </c>
      <c r="I131" s="33" t="str">
        <f aca="false">IF(C131&lt;&gt;"", H131+E131, "")</f>
        <v/>
      </c>
      <c r="K131" s="33" t="str">
        <f aca="false">IF(C131&lt;&gt;"", L131-I131, "")</f>
        <v/>
      </c>
      <c r="L131" s="33" t="str">
        <f aca="false">IF(C131&lt;&gt;"", I131/(1-J131), "")</f>
        <v/>
      </c>
      <c r="M131" s="33" t="str">
        <f aca="false">IF(C131&lt;&gt;"", values!$A$2, "")</f>
        <v/>
      </c>
      <c r="N131" s="33" t="str">
        <f aca="false">IF(C131&lt;&gt;"", O131-L131, "")</f>
        <v/>
      </c>
      <c r="O131" s="33" t="str">
        <f aca="false">IF(C131&lt;&gt;"", L131/(1-M131), "")</f>
        <v/>
      </c>
    </row>
    <row r="132" customFormat="false" ht="12.8" hidden="false" customHeight="false" outlineLevel="0" collapsed="false">
      <c r="A132" s="1" t="s">
        <v>1218</v>
      </c>
      <c r="B132" s="31" t="s">
        <v>1219</v>
      </c>
      <c r="D132" s="32" t="str">
        <f aca="true">IF(C132&lt;&gt;"", SUM(INDEX(INDIRECT("'" &amp; B132 &amp; "'.$A$1:$Z$1000"), 0, MATCH("count", INDIRECT("'" &amp; B132 &amp; "'.$A$1:$Z$1"), 0))), "")</f>
        <v/>
      </c>
      <c r="E132" s="33" t="str">
        <f aca="true">IF(C132&lt;&gt;"", SUM(INDEX(INDIRECT("'" &amp; B132 &amp; "'.$A$1:$Z$1000"), 0, MATCH("cost", INDIRECT("'" &amp; B132 &amp; "'.$A$1:$Z$1"), 0))), "")</f>
        <v/>
      </c>
      <c r="F132" s="40" t="str">
        <f aca="true">IF(C132&lt;&gt;"", SUM(INDEX(INDIRECT("'" &amp; B132 &amp; "'.$A$1:$Z$1000"), 0, MATCH("total_assembly_time_min", INDIRECT("'" &amp; B132 &amp; "'.$A$1:$Z$1"), 0)))/60, "")</f>
        <v/>
      </c>
      <c r="G132" s="33" t="str">
        <f aca="false">IF(C132&lt;&gt;"", values!$B$2, "")</f>
        <v/>
      </c>
      <c r="H132" s="33" t="str">
        <f aca="false">IF(C132&lt;&gt;"", F132*G132, "")</f>
        <v/>
      </c>
      <c r="I132" s="33" t="str">
        <f aca="false">IF(C132&lt;&gt;"", H132+E132, "")</f>
        <v/>
      </c>
      <c r="K132" s="33" t="str">
        <f aca="false">IF(C132&lt;&gt;"", L132-I132, "")</f>
        <v/>
      </c>
      <c r="L132" s="33" t="str">
        <f aca="false">IF(C132&lt;&gt;"", I132/(1-J132), "")</f>
        <v/>
      </c>
      <c r="M132" s="33" t="str">
        <f aca="false">IF(C132&lt;&gt;"", values!$A$2, "")</f>
        <v/>
      </c>
      <c r="N132" s="33" t="str">
        <f aca="false">IF(C132&lt;&gt;"", O132-L132, "")</f>
        <v/>
      </c>
      <c r="O132" s="33" t="str">
        <f aca="false">IF(C132&lt;&gt;"", L132/(1-M132), "")</f>
        <v/>
      </c>
    </row>
    <row r="133" customFormat="false" ht="12.8" hidden="false" customHeight="false" outlineLevel="0" collapsed="false">
      <c r="A133" s="1" t="s">
        <v>1220</v>
      </c>
      <c r="B133" s="31" t="s">
        <v>1221</v>
      </c>
      <c r="D133" s="32" t="str">
        <f aca="true">IF(C133&lt;&gt;"", SUM(INDEX(INDIRECT("'" &amp; B133 &amp; "'.$A$1:$Z$1000"), 0, MATCH("count", INDIRECT("'" &amp; B133 &amp; "'.$A$1:$Z$1"), 0))), "")</f>
        <v/>
      </c>
      <c r="E133" s="33" t="str">
        <f aca="true">IF(C133&lt;&gt;"", SUM(INDEX(INDIRECT("'" &amp; B133 &amp; "'.$A$1:$Z$1000"), 0, MATCH("cost", INDIRECT("'" &amp; B133 &amp; "'.$A$1:$Z$1"), 0))), "")</f>
        <v/>
      </c>
      <c r="F133" s="40" t="str">
        <f aca="true">IF(C133&lt;&gt;"", SUM(INDEX(INDIRECT("'" &amp; B133 &amp; "'.$A$1:$Z$1000"), 0, MATCH("total_assembly_time_min", INDIRECT("'" &amp; B133 &amp; "'.$A$1:$Z$1"), 0)))/60, "")</f>
        <v/>
      </c>
      <c r="G133" s="33" t="str">
        <f aca="false">IF(C133&lt;&gt;"", values!$B$2, "")</f>
        <v/>
      </c>
      <c r="H133" s="33" t="str">
        <f aca="false">IF(C133&lt;&gt;"", F133*G133, "")</f>
        <v/>
      </c>
      <c r="I133" s="33" t="str">
        <f aca="false">IF(C133&lt;&gt;"", H133+E133, "")</f>
        <v/>
      </c>
      <c r="K133" s="33" t="str">
        <f aca="false">IF(C133&lt;&gt;"", L133-I133, "")</f>
        <v/>
      </c>
      <c r="L133" s="33" t="str">
        <f aca="false">IF(C133&lt;&gt;"", I133/(1-J133), "")</f>
        <v/>
      </c>
      <c r="M133" s="33" t="str">
        <f aca="false">IF(C133&lt;&gt;"", values!$A$2, "")</f>
        <v/>
      </c>
      <c r="N133" s="33" t="str">
        <f aca="false">IF(C133&lt;&gt;"", O133-L133, "")</f>
        <v/>
      </c>
      <c r="O133" s="33" t="str">
        <f aca="false">IF(C133&lt;&gt;"", L133/(1-M133), "")</f>
        <v/>
      </c>
    </row>
    <row r="134" customFormat="false" ht="12.8" hidden="false" customHeight="false" outlineLevel="0" collapsed="false">
      <c r="A134" s="1" t="s">
        <v>1222</v>
      </c>
      <c r="B134" s="31" t="s">
        <v>1223</v>
      </c>
      <c r="D134" s="32" t="str">
        <f aca="true">IF(C134&lt;&gt;"", SUM(INDEX(INDIRECT("'" &amp; B134 &amp; "'.$A$1:$Z$1000"), 0, MATCH("count", INDIRECT("'" &amp; B134 &amp; "'.$A$1:$Z$1"), 0))), "")</f>
        <v/>
      </c>
      <c r="E134" s="33" t="str">
        <f aca="true">IF(C134&lt;&gt;"", SUM(INDEX(INDIRECT("'" &amp; B134 &amp; "'.$A$1:$Z$1000"), 0, MATCH("cost", INDIRECT("'" &amp; B134 &amp; "'.$A$1:$Z$1"), 0))), "")</f>
        <v/>
      </c>
      <c r="F134" s="40" t="str">
        <f aca="true">IF(C134&lt;&gt;"", SUM(INDEX(INDIRECT("'" &amp; B134 &amp; "'.$A$1:$Z$1000"), 0, MATCH("total_assembly_time_min", INDIRECT("'" &amp; B134 &amp; "'.$A$1:$Z$1"), 0)))/60, "")</f>
        <v/>
      </c>
      <c r="G134" s="33" t="str">
        <f aca="false">IF(C134&lt;&gt;"", values!$B$2, "")</f>
        <v/>
      </c>
      <c r="H134" s="33" t="str">
        <f aca="false">IF(C134&lt;&gt;"", F134*G134, "")</f>
        <v/>
      </c>
      <c r="I134" s="33" t="str">
        <f aca="false">IF(C134&lt;&gt;"", H134+E134, "")</f>
        <v/>
      </c>
      <c r="K134" s="33" t="str">
        <f aca="false">IF(C134&lt;&gt;"", L134-I134, "")</f>
        <v/>
      </c>
      <c r="L134" s="33" t="str">
        <f aca="false">IF(C134&lt;&gt;"", I134/(1-J134), "")</f>
        <v/>
      </c>
      <c r="M134" s="33" t="str">
        <f aca="false">IF(C134&lt;&gt;"", values!$A$2, "")</f>
        <v/>
      </c>
      <c r="N134" s="33" t="str">
        <f aca="false">IF(C134&lt;&gt;"", O134-L134, "")</f>
        <v/>
      </c>
      <c r="O134" s="33" t="str">
        <f aca="false">IF(C134&lt;&gt;"", L134/(1-M134), "")</f>
        <v/>
      </c>
    </row>
    <row r="135" customFormat="false" ht="12.8" hidden="false" customHeight="false" outlineLevel="0" collapsed="false">
      <c r="A135" s="1" t="s">
        <v>1224</v>
      </c>
      <c r="B135" s="31" t="s">
        <v>1225</v>
      </c>
      <c r="D135" s="32" t="str">
        <f aca="true">IF(C135&lt;&gt;"", SUM(INDEX(INDIRECT("'" &amp; B135 &amp; "'.$A$1:$Z$1000"), 0, MATCH("count", INDIRECT("'" &amp; B135 &amp; "'.$A$1:$Z$1"), 0))), "")</f>
        <v/>
      </c>
      <c r="E135" s="33" t="str">
        <f aca="true">IF(C135&lt;&gt;"", SUM(INDEX(INDIRECT("'" &amp; B135 &amp; "'.$A$1:$Z$1000"), 0, MATCH("cost", INDIRECT("'" &amp; B135 &amp; "'.$A$1:$Z$1"), 0))), "")</f>
        <v/>
      </c>
      <c r="F135" s="40" t="str">
        <f aca="true">IF(C135&lt;&gt;"", SUM(INDEX(INDIRECT("'" &amp; B135 &amp; "'.$A$1:$Z$1000"), 0, MATCH("total_assembly_time_min", INDIRECT("'" &amp; B135 &amp; "'.$A$1:$Z$1"), 0)))/60, "")</f>
        <v/>
      </c>
      <c r="G135" s="33" t="str">
        <f aca="false">IF(C135&lt;&gt;"", values!$B$2, "")</f>
        <v/>
      </c>
      <c r="H135" s="33" t="str">
        <f aca="false">IF(C135&lt;&gt;"", F135*G135, "")</f>
        <v/>
      </c>
      <c r="I135" s="33" t="str">
        <f aca="false">IF(C135&lt;&gt;"", H135+E135, "")</f>
        <v/>
      </c>
      <c r="K135" s="33" t="str">
        <f aca="false">IF(C135&lt;&gt;"", L135-I135, "")</f>
        <v/>
      </c>
      <c r="L135" s="33" t="str">
        <f aca="false">IF(C135&lt;&gt;"", I135/(1-J135), "")</f>
        <v/>
      </c>
      <c r="M135" s="33" t="str">
        <f aca="false">IF(C135&lt;&gt;"", values!$A$2, "")</f>
        <v/>
      </c>
      <c r="N135" s="33" t="str">
        <f aca="false">IF(C135&lt;&gt;"", O135-L135, "")</f>
        <v/>
      </c>
      <c r="O135" s="33" t="str">
        <f aca="false">IF(C135&lt;&gt;"", L135/(1-M135), "")</f>
        <v/>
      </c>
    </row>
    <row r="136" customFormat="false" ht="12.8" hidden="false" customHeight="false" outlineLevel="0" collapsed="false">
      <c r="A136" s="1" t="s">
        <v>1226</v>
      </c>
      <c r="B136" s="31" t="s">
        <v>1227</v>
      </c>
      <c r="D136" s="32" t="str">
        <f aca="true">IF(C136&lt;&gt;"", SUM(INDEX(INDIRECT("'" &amp; B136 &amp; "'.$A$1:$Z$1000"), 0, MATCH("count", INDIRECT("'" &amp; B136 &amp; "'.$A$1:$Z$1"), 0))), "")</f>
        <v/>
      </c>
      <c r="E136" s="33" t="str">
        <f aca="true">IF(C136&lt;&gt;"", SUM(INDEX(INDIRECT("'" &amp; B136 &amp; "'.$A$1:$Z$1000"), 0, MATCH("cost", INDIRECT("'" &amp; B136 &amp; "'.$A$1:$Z$1"), 0))), "")</f>
        <v/>
      </c>
      <c r="F136" s="40" t="str">
        <f aca="true">IF(C136&lt;&gt;"", SUM(INDEX(INDIRECT("'" &amp; B136 &amp; "'.$A$1:$Z$1000"), 0, MATCH("total_assembly_time_min", INDIRECT("'" &amp; B136 &amp; "'.$A$1:$Z$1"), 0)))/60, "")</f>
        <v/>
      </c>
      <c r="G136" s="33" t="str">
        <f aca="false">IF(C136&lt;&gt;"", values!$B$2, "")</f>
        <v/>
      </c>
      <c r="H136" s="33" t="str">
        <f aca="false">IF(C136&lt;&gt;"", F136*G136, "")</f>
        <v/>
      </c>
      <c r="I136" s="33" t="str">
        <f aca="false">IF(C136&lt;&gt;"", H136+E136, "")</f>
        <v/>
      </c>
      <c r="K136" s="33" t="str">
        <f aca="false">IF(C136&lt;&gt;"", L136-I136, "")</f>
        <v/>
      </c>
      <c r="L136" s="33" t="str">
        <f aca="false">IF(C136&lt;&gt;"", I136/(1-J136), "")</f>
        <v/>
      </c>
      <c r="M136" s="33" t="str">
        <f aca="false">IF(C136&lt;&gt;"", values!$A$2, "")</f>
        <v/>
      </c>
      <c r="N136" s="33" t="str">
        <f aca="false">IF(C136&lt;&gt;"", O136-L136, "")</f>
        <v/>
      </c>
      <c r="O136" s="33" t="str">
        <f aca="false">IF(C136&lt;&gt;"", L136/(1-M136), "")</f>
        <v/>
      </c>
    </row>
    <row r="137" customFormat="false" ht="12.8" hidden="false" customHeight="false" outlineLevel="0" collapsed="false">
      <c r="A137" s="1" t="s">
        <v>1228</v>
      </c>
      <c r="B137" s="31" t="s">
        <v>1229</v>
      </c>
      <c r="D137" s="32" t="str">
        <f aca="true">IF(C137&lt;&gt;"", SUM(INDEX(INDIRECT("'" &amp; B137 &amp; "'.$A$1:$Z$1000"), 0, MATCH("count", INDIRECT("'" &amp; B137 &amp; "'.$A$1:$Z$1"), 0))), "")</f>
        <v/>
      </c>
      <c r="E137" s="33" t="str">
        <f aca="true">IF(C137&lt;&gt;"", SUM(INDEX(INDIRECT("'" &amp; B137 &amp; "'.$A$1:$Z$1000"), 0, MATCH("cost", INDIRECT("'" &amp; B137 &amp; "'.$A$1:$Z$1"), 0))), "")</f>
        <v/>
      </c>
      <c r="F137" s="40" t="str">
        <f aca="true">IF(C137&lt;&gt;"", SUM(INDEX(INDIRECT("'" &amp; B137 &amp; "'.$A$1:$Z$1000"), 0, MATCH("total_assembly_time_min", INDIRECT("'" &amp; B137 &amp; "'.$A$1:$Z$1"), 0)))/60, "")</f>
        <v/>
      </c>
      <c r="G137" s="33" t="str">
        <f aca="false">IF(C137&lt;&gt;"", values!$B$2, "")</f>
        <v/>
      </c>
      <c r="H137" s="33" t="str">
        <f aca="false">IF(C137&lt;&gt;"", F137*G137, "")</f>
        <v/>
      </c>
      <c r="I137" s="33" t="str">
        <f aca="false">IF(C137&lt;&gt;"", H137+E137, "")</f>
        <v/>
      </c>
      <c r="K137" s="33" t="str">
        <f aca="false">IF(C137&lt;&gt;"", L137-I137, "")</f>
        <v/>
      </c>
      <c r="L137" s="33" t="str">
        <f aca="false">IF(C137&lt;&gt;"", I137/(1-J137), "")</f>
        <v/>
      </c>
      <c r="M137" s="33" t="str">
        <f aca="false">IF(C137&lt;&gt;"", values!$A$2, "")</f>
        <v/>
      </c>
      <c r="N137" s="33" t="str">
        <f aca="false">IF(C137&lt;&gt;"", O137-L137, "")</f>
        <v/>
      </c>
      <c r="O137" s="33" t="str">
        <f aca="false">IF(C137&lt;&gt;"", L137/(1-M137), "")</f>
        <v/>
      </c>
    </row>
    <row r="138" customFormat="false" ht="12.8" hidden="false" customHeight="false" outlineLevel="0" collapsed="false">
      <c r="A138" s="1" t="s">
        <v>1230</v>
      </c>
      <c r="B138" s="31" t="s">
        <v>1231</v>
      </c>
      <c r="D138" s="32" t="str">
        <f aca="true">IF(C138&lt;&gt;"", SUM(INDEX(INDIRECT("'" &amp; B138 &amp; "'.$A$1:$Z$1000"), 0, MATCH("count", INDIRECT("'" &amp; B138 &amp; "'.$A$1:$Z$1"), 0))), "")</f>
        <v/>
      </c>
      <c r="E138" s="33" t="str">
        <f aca="true">IF(C138&lt;&gt;"", SUM(INDEX(INDIRECT("'" &amp; B138 &amp; "'.$A$1:$Z$1000"), 0, MATCH("cost", INDIRECT("'" &amp; B138 &amp; "'.$A$1:$Z$1"), 0))), "")</f>
        <v/>
      </c>
      <c r="F138" s="40" t="str">
        <f aca="true">IF(C138&lt;&gt;"", SUM(INDEX(INDIRECT("'" &amp; B138 &amp; "'.$A$1:$Z$1000"), 0, MATCH("total_assembly_time_min", INDIRECT("'" &amp; B138 &amp; "'.$A$1:$Z$1"), 0)))/60, "")</f>
        <v/>
      </c>
      <c r="G138" s="33" t="str">
        <f aca="false">IF(C138&lt;&gt;"", values!$B$2, "")</f>
        <v/>
      </c>
      <c r="H138" s="33" t="str">
        <f aca="false">IF(C138&lt;&gt;"", F138*G138, "")</f>
        <v/>
      </c>
      <c r="I138" s="33" t="str">
        <f aca="false">IF(C138&lt;&gt;"", H138+E138, "")</f>
        <v/>
      </c>
      <c r="K138" s="33" t="str">
        <f aca="false">IF(C138&lt;&gt;"", L138-I138, "")</f>
        <v/>
      </c>
      <c r="L138" s="33" t="str">
        <f aca="false">IF(C138&lt;&gt;"", I138/(1-J138), "")</f>
        <v/>
      </c>
      <c r="M138" s="33" t="str">
        <f aca="false">IF(C138&lt;&gt;"", values!$A$2, "")</f>
        <v/>
      </c>
      <c r="N138" s="33" t="str">
        <f aca="false">IF(C138&lt;&gt;"", O138-L138, "")</f>
        <v/>
      </c>
      <c r="O138" s="33" t="str">
        <f aca="false">IF(C138&lt;&gt;"", L138/(1-M138), "")</f>
        <v/>
      </c>
    </row>
    <row r="139" customFormat="false" ht="12.8" hidden="false" customHeight="false" outlineLevel="0" collapsed="false">
      <c r="A139" s="1" t="s">
        <v>1232</v>
      </c>
      <c r="B139" s="31" t="s">
        <v>1233</v>
      </c>
      <c r="D139" s="32" t="str">
        <f aca="true">IF(C139&lt;&gt;"", SUM(INDEX(INDIRECT("'" &amp; B139 &amp; "'.$A$1:$Z$1000"), 0, MATCH("count", INDIRECT("'" &amp; B139 &amp; "'.$A$1:$Z$1"), 0))), "")</f>
        <v/>
      </c>
      <c r="E139" s="33" t="str">
        <f aca="true">IF(C139&lt;&gt;"", SUM(INDEX(INDIRECT("'" &amp; B139 &amp; "'.$A$1:$Z$1000"), 0, MATCH("cost", INDIRECT("'" &amp; B139 &amp; "'.$A$1:$Z$1"), 0))), "")</f>
        <v/>
      </c>
      <c r="F139" s="40" t="str">
        <f aca="true">IF(C139&lt;&gt;"", SUM(INDEX(INDIRECT("'" &amp; B139 &amp; "'.$A$1:$Z$1000"), 0, MATCH("total_assembly_time_min", INDIRECT("'" &amp; B139 &amp; "'.$A$1:$Z$1"), 0)))/60, "")</f>
        <v/>
      </c>
      <c r="G139" s="33" t="str">
        <f aca="false">IF(C139&lt;&gt;"", values!$B$2, "")</f>
        <v/>
      </c>
      <c r="H139" s="33" t="str">
        <f aca="false">IF(C139&lt;&gt;"", F139*G139, "")</f>
        <v/>
      </c>
      <c r="I139" s="33" t="str">
        <f aca="false">IF(C139&lt;&gt;"", H139+E139, "")</f>
        <v/>
      </c>
      <c r="K139" s="33" t="str">
        <f aca="false">IF(C139&lt;&gt;"", L139-I139, "")</f>
        <v/>
      </c>
      <c r="L139" s="33" t="str">
        <f aca="false">IF(C139&lt;&gt;"", I139/(1-J139), "")</f>
        <v/>
      </c>
      <c r="M139" s="33" t="str">
        <f aca="false">IF(C139&lt;&gt;"", values!$A$2, "")</f>
        <v/>
      </c>
      <c r="N139" s="33" t="str">
        <f aca="false">IF(C139&lt;&gt;"", O139-L139, "")</f>
        <v/>
      </c>
      <c r="O139" s="33" t="str">
        <f aca="false">IF(C139&lt;&gt;"", L139/(1-M139), "")</f>
        <v/>
      </c>
    </row>
    <row r="140" customFormat="false" ht="12.8" hidden="false" customHeight="false" outlineLevel="0" collapsed="false">
      <c r="A140" s="1" t="s">
        <v>1234</v>
      </c>
      <c r="B140" s="31" t="s">
        <v>1235</v>
      </c>
      <c r="D140" s="32" t="str">
        <f aca="true">IF(C140&lt;&gt;"", SUM(INDEX(INDIRECT("'" &amp; B140 &amp; "'.$A$1:$Z$1000"), 0, MATCH("count", INDIRECT("'" &amp; B140 &amp; "'.$A$1:$Z$1"), 0))), "")</f>
        <v/>
      </c>
      <c r="E140" s="33" t="str">
        <f aca="true">IF(C140&lt;&gt;"", SUM(INDEX(INDIRECT("'" &amp; B140 &amp; "'.$A$1:$Z$1000"), 0, MATCH("cost", INDIRECT("'" &amp; B140 &amp; "'.$A$1:$Z$1"), 0))), "")</f>
        <v/>
      </c>
      <c r="F140" s="40" t="str">
        <f aca="true">IF(C140&lt;&gt;"", SUM(INDEX(INDIRECT("'" &amp; B140 &amp; "'.$A$1:$Z$1000"), 0, MATCH("total_assembly_time_min", INDIRECT("'" &amp; B140 &amp; "'.$A$1:$Z$1"), 0)))/60, "")</f>
        <v/>
      </c>
      <c r="G140" s="33" t="str">
        <f aca="false">IF(C140&lt;&gt;"", values!$B$2, "")</f>
        <v/>
      </c>
      <c r="H140" s="33" t="str">
        <f aca="false">IF(C140&lt;&gt;"", F140*G140, "")</f>
        <v/>
      </c>
      <c r="I140" s="33" t="str">
        <f aca="false">IF(C140&lt;&gt;"", H140+E140, "")</f>
        <v/>
      </c>
      <c r="K140" s="33" t="str">
        <f aca="false">IF(C140&lt;&gt;"", L140-I140, "")</f>
        <v/>
      </c>
      <c r="L140" s="33" t="str">
        <f aca="false">IF(C140&lt;&gt;"", I140/(1-J140), "")</f>
        <v/>
      </c>
      <c r="M140" s="33" t="str">
        <f aca="false">IF(C140&lt;&gt;"", values!$A$2, "")</f>
        <v/>
      </c>
      <c r="N140" s="33" t="str">
        <f aca="false">IF(C140&lt;&gt;"", O140-L140, "")</f>
        <v/>
      </c>
      <c r="O140" s="33" t="str">
        <f aca="false">IF(C140&lt;&gt;"", L140/(1-M140), "")</f>
        <v/>
      </c>
    </row>
    <row r="141" customFormat="false" ht="12.8" hidden="false" customHeight="false" outlineLevel="0" collapsed="false">
      <c r="A141" s="1" t="s">
        <v>1236</v>
      </c>
      <c r="B141" s="31" t="s">
        <v>1237</v>
      </c>
      <c r="D141" s="32" t="str">
        <f aca="true">IF(C141&lt;&gt;"", SUM(INDEX(INDIRECT("'" &amp; B141 &amp; "'.$A$1:$Z$1000"), 0, MATCH("count", INDIRECT("'" &amp; B141 &amp; "'.$A$1:$Z$1"), 0))), "")</f>
        <v/>
      </c>
      <c r="E141" s="33" t="str">
        <f aca="true">IF(C141&lt;&gt;"", SUM(INDEX(INDIRECT("'" &amp; B141 &amp; "'.$A$1:$Z$1000"), 0, MATCH("cost", INDIRECT("'" &amp; B141 &amp; "'.$A$1:$Z$1"), 0))), "")</f>
        <v/>
      </c>
      <c r="F141" s="40" t="str">
        <f aca="true">IF(C141&lt;&gt;"", SUM(INDEX(INDIRECT("'" &amp; B141 &amp; "'.$A$1:$Z$1000"), 0, MATCH("total_assembly_time_min", INDIRECT("'" &amp; B141 &amp; "'.$A$1:$Z$1"), 0)))/60, "")</f>
        <v/>
      </c>
      <c r="G141" s="33" t="str">
        <f aca="false">IF(C141&lt;&gt;"", values!$B$2, "")</f>
        <v/>
      </c>
      <c r="H141" s="33" t="str">
        <f aca="false">IF(C141&lt;&gt;"", F141*G141, "")</f>
        <v/>
      </c>
      <c r="I141" s="33" t="str">
        <f aca="false">IF(C141&lt;&gt;"", H141+E141, "")</f>
        <v/>
      </c>
      <c r="K141" s="33" t="str">
        <f aca="false">IF(C141&lt;&gt;"", L141-I141, "")</f>
        <v/>
      </c>
      <c r="L141" s="33" t="str">
        <f aca="false">IF(C141&lt;&gt;"", I141/(1-J141), "")</f>
        <v/>
      </c>
      <c r="M141" s="33" t="str">
        <f aca="false">IF(C141&lt;&gt;"", values!$A$2, "")</f>
        <v/>
      </c>
      <c r="N141" s="33" t="str">
        <f aca="false">IF(C141&lt;&gt;"", O141-L141, "")</f>
        <v/>
      </c>
      <c r="O141" s="33" t="str">
        <f aca="false">IF(C141&lt;&gt;"", L141/(1-M141), "")</f>
        <v/>
      </c>
    </row>
    <row r="142" customFormat="false" ht="12.8" hidden="false" customHeight="false" outlineLevel="0" collapsed="false">
      <c r="A142" s="1" t="s">
        <v>1238</v>
      </c>
      <c r="B142" s="31" t="s">
        <v>1239</v>
      </c>
      <c r="D142" s="32" t="str">
        <f aca="true">IF(C142&lt;&gt;"", SUM(INDEX(INDIRECT("'" &amp; B142 &amp; "'.$A$1:$Z$1000"), 0, MATCH("count", INDIRECT("'" &amp; B142 &amp; "'.$A$1:$Z$1"), 0))), "")</f>
        <v/>
      </c>
      <c r="E142" s="33" t="str">
        <f aca="true">IF(C142&lt;&gt;"", SUM(INDEX(INDIRECT("'" &amp; B142 &amp; "'.$A$1:$Z$1000"), 0, MATCH("cost", INDIRECT("'" &amp; B142 &amp; "'.$A$1:$Z$1"), 0))), "")</f>
        <v/>
      </c>
      <c r="F142" s="40" t="str">
        <f aca="true">IF(C142&lt;&gt;"", SUM(INDEX(INDIRECT("'" &amp; B142 &amp; "'.$A$1:$Z$1000"), 0, MATCH("total_assembly_time_min", INDIRECT("'" &amp; B142 &amp; "'.$A$1:$Z$1"), 0)))/60, "")</f>
        <v/>
      </c>
      <c r="G142" s="33" t="str">
        <f aca="false">IF(C142&lt;&gt;"", values!$B$2, "")</f>
        <v/>
      </c>
      <c r="H142" s="33" t="str">
        <f aca="false">IF(C142&lt;&gt;"", F142*G142, "")</f>
        <v/>
      </c>
      <c r="I142" s="33" t="str">
        <f aca="false">IF(C142&lt;&gt;"", H142+E142, "")</f>
        <v/>
      </c>
      <c r="K142" s="33" t="str">
        <f aca="false">IF(C142&lt;&gt;"", L142-I142, "")</f>
        <v/>
      </c>
      <c r="L142" s="33" t="str">
        <f aca="false">IF(C142&lt;&gt;"", I142/(1-J142), "")</f>
        <v/>
      </c>
      <c r="M142" s="33" t="str">
        <f aca="false">IF(C142&lt;&gt;"", values!$A$2, "")</f>
        <v/>
      </c>
      <c r="N142" s="33" t="str">
        <f aca="false">IF(C142&lt;&gt;"", O142-L142, "")</f>
        <v/>
      </c>
      <c r="O142" s="33" t="str">
        <f aca="false">IF(C142&lt;&gt;"", L142/(1-M142), "")</f>
        <v/>
      </c>
    </row>
    <row r="143" customFormat="false" ht="12.8" hidden="false" customHeight="false" outlineLevel="0" collapsed="false">
      <c r="A143" s="1" t="s">
        <v>1240</v>
      </c>
      <c r="B143" s="31" t="s">
        <v>1241</v>
      </c>
      <c r="D143" s="32" t="str">
        <f aca="true">IF(C143&lt;&gt;"", SUM(INDEX(INDIRECT("'" &amp; B143 &amp; "'.$A$1:$Z$1000"), 0, MATCH("count", INDIRECT("'" &amp; B143 &amp; "'.$A$1:$Z$1"), 0))), "")</f>
        <v/>
      </c>
      <c r="E143" s="33" t="str">
        <f aca="true">IF(C143&lt;&gt;"", SUM(INDEX(INDIRECT("'" &amp; B143 &amp; "'.$A$1:$Z$1000"), 0, MATCH("cost", INDIRECT("'" &amp; B143 &amp; "'.$A$1:$Z$1"), 0))), "")</f>
        <v/>
      </c>
      <c r="F143" s="40" t="str">
        <f aca="true">IF(C143&lt;&gt;"", SUM(INDEX(INDIRECT("'" &amp; B143 &amp; "'.$A$1:$Z$1000"), 0, MATCH("total_assembly_time_min", INDIRECT("'" &amp; B143 &amp; "'.$A$1:$Z$1"), 0)))/60, "")</f>
        <v/>
      </c>
      <c r="G143" s="33" t="str">
        <f aca="false">IF(C143&lt;&gt;"", values!$B$2, "")</f>
        <v/>
      </c>
      <c r="H143" s="33" t="str">
        <f aca="false">IF(C143&lt;&gt;"", F143*G143, "")</f>
        <v/>
      </c>
      <c r="I143" s="33" t="str">
        <f aca="false">IF(C143&lt;&gt;"", H143+E143, "")</f>
        <v/>
      </c>
      <c r="K143" s="33" t="str">
        <f aca="false">IF(C143&lt;&gt;"", L143-I143, "")</f>
        <v/>
      </c>
      <c r="L143" s="33" t="str">
        <f aca="false">IF(C143&lt;&gt;"", I143/(1-J143), "")</f>
        <v/>
      </c>
      <c r="M143" s="33" t="str">
        <f aca="false">IF(C143&lt;&gt;"", values!$A$2, "")</f>
        <v/>
      </c>
      <c r="N143" s="33" t="str">
        <f aca="false">IF(C143&lt;&gt;"", O143-L143, "")</f>
        <v/>
      </c>
      <c r="O143" s="33" t="str">
        <f aca="false">IF(C143&lt;&gt;"", L143/(1-M143), "")</f>
        <v/>
      </c>
    </row>
    <row r="144" customFormat="false" ht="12.8" hidden="false" customHeight="false" outlineLevel="0" collapsed="false">
      <c r="A144" s="1" t="s">
        <v>1242</v>
      </c>
      <c r="B144" s="31" t="s">
        <v>1243</v>
      </c>
      <c r="D144" s="32" t="str">
        <f aca="true">IF(C144&lt;&gt;"", SUM(INDEX(INDIRECT("'" &amp; B144 &amp; "'.$A$1:$Z$1000"), 0, MATCH("count", INDIRECT("'" &amp; B144 &amp; "'.$A$1:$Z$1"), 0))), "")</f>
        <v/>
      </c>
      <c r="E144" s="33" t="str">
        <f aca="true">IF(C144&lt;&gt;"", SUM(INDEX(INDIRECT("'" &amp; B144 &amp; "'.$A$1:$Z$1000"), 0, MATCH("cost", INDIRECT("'" &amp; B144 &amp; "'.$A$1:$Z$1"), 0))), "")</f>
        <v/>
      </c>
      <c r="F144" s="40" t="str">
        <f aca="true">IF(C144&lt;&gt;"", SUM(INDEX(INDIRECT("'" &amp; B144 &amp; "'.$A$1:$Z$1000"), 0, MATCH("total_assembly_time_min", INDIRECT("'" &amp; B144 &amp; "'.$A$1:$Z$1"), 0)))/60, "")</f>
        <v/>
      </c>
      <c r="G144" s="33" t="str">
        <f aca="false">IF(C144&lt;&gt;"", values!$B$2, "")</f>
        <v/>
      </c>
      <c r="H144" s="33" t="str">
        <f aca="false">IF(C144&lt;&gt;"", F144*G144, "")</f>
        <v/>
      </c>
      <c r="I144" s="33" t="str">
        <f aca="false">IF(C144&lt;&gt;"", H144+E144, "")</f>
        <v/>
      </c>
      <c r="K144" s="33" t="str">
        <f aca="false">IF(C144&lt;&gt;"", L144-I144, "")</f>
        <v/>
      </c>
      <c r="L144" s="33" t="str">
        <f aca="false">IF(C144&lt;&gt;"", I144/(1-J144), "")</f>
        <v/>
      </c>
      <c r="M144" s="33" t="str">
        <f aca="false">IF(C144&lt;&gt;"", values!$A$2, "")</f>
        <v/>
      </c>
      <c r="N144" s="33" t="str">
        <f aca="false">IF(C144&lt;&gt;"", O144-L144, "")</f>
        <v/>
      </c>
      <c r="O144" s="33" t="str">
        <f aca="false">IF(C144&lt;&gt;"", L144/(1-M144), "")</f>
        <v/>
      </c>
    </row>
    <row r="145" customFormat="false" ht="12.8" hidden="false" customHeight="false" outlineLevel="0" collapsed="false">
      <c r="A145" s="1" t="s">
        <v>1244</v>
      </c>
      <c r="B145" s="31" t="s">
        <v>1245</v>
      </c>
      <c r="D145" s="32" t="str">
        <f aca="true">IF(C145&lt;&gt;"", SUM(INDEX(INDIRECT("'" &amp; B145 &amp; "'.$A$1:$Z$1000"), 0, MATCH("count", INDIRECT("'" &amp; B145 &amp; "'.$A$1:$Z$1"), 0))), "")</f>
        <v/>
      </c>
      <c r="E145" s="33" t="str">
        <f aca="true">IF(C145&lt;&gt;"", SUM(INDEX(INDIRECT("'" &amp; B145 &amp; "'.$A$1:$Z$1000"), 0, MATCH("cost", INDIRECT("'" &amp; B145 &amp; "'.$A$1:$Z$1"), 0))), "")</f>
        <v/>
      </c>
      <c r="F145" s="40" t="str">
        <f aca="true">IF(C145&lt;&gt;"", SUM(INDEX(INDIRECT("'" &amp; B145 &amp; "'.$A$1:$Z$1000"), 0, MATCH("total_assembly_time_min", INDIRECT("'" &amp; B145 &amp; "'.$A$1:$Z$1"), 0)))/60, "")</f>
        <v/>
      </c>
      <c r="G145" s="33" t="str">
        <f aca="false">IF(C145&lt;&gt;"", values!$B$2, "")</f>
        <v/>
      </c>
      <c r="H145" s="33" t="str">
        <f aca="false">IF(C145&lt;&gt;"", F145*G145, "")</f>
        <v/>
      </c>
      <c r="I145" s="33" t="str">
        <f aca="false">IF(C145&lt;&gt;"", H145+E145, "")</f>
        <v/>
      </c>
      <c r="K145" s="33" t="str">
        <f aca="false">IF(C145&lt;&gt;"", L145-I145, "")</f>
        <v/>
      </c>
      <c r="L145" s="33" t="str">
        <f aca="false">IF(C145&lt;&gt;"", I145/(1-J145), "")</f>
        <v/>
      </c>
      <c r="M145" s="33" t="str">
        <f aca="false">IF(C145&lt;&gt;"", values!$A$2, "")</f>
        <v/>
      </c>
      <c r="N145" s="33" t="str">
        <f aca="false">IF(C145&lt;&gt;"", O145-L145, "")</f>
        <v/>
      </c>
      <c r="O145" s="33" t="str">
        <f aca="false">IF(C145&lt;&gt;"", L145/(1-M145), "")</f>
        <v/>
      </c>
    </row>
    <row r="146" customFormat="false" ht="12.8" hidden="false" customHeight="false" outlineLevel="0" collapsed="false">
      <c r="A146" s="1" t="s">
        <v>1246</v>
      </c>
      <c r="B146" s="31" t="s">
        <v>1247</v>
      </c>
      <c r="D146" s="32" t="str">
        <f aca="true">IF(C146&lt;&gt;"", SUM(INDEX(INDIRECT("'" &amp; B146 &amp; "'.$A$1:$Z$1000"), 0, MATCH("count", INDIRECT("'" &amp; B146 &amp; "'.$A$1:$Z$1"), 0))), "")</f>
        <v/>
      </c>
      <c r="E146" s="33" t="str">
        <f aca="true">IF(C146&lt;&gt;"", SUM(INDEX(INDIRECT("'" &amp; B146 &amp; "'.$A$1:$Z$1000"), 0, MATCH("cost", INDIRECT("'" &amp; B146 &amp; "'.$A$1:$Z$1"), 0))), "")</f>
        <v/>
      </c>
      <c r="F146" s="40" t="str">
        <f aca="true">IF(C146&lt;&gt;"", SUM(INDEX(INDIRECT("'" &amp; B146 &amp; "'.$A$1:$Z$1000"), 0, MATCH("total_assembly_time_min", INDIRECT("'" &amp; B146 &amp; "'.$A$1:$Z$1"), 0)))/60, "")</f>
        <v/>
      </c>
      <c r="G146" s="33" t="str">
        <f aca="false">IF(C146&lt;&gt;"", values!$B$2, "")</f>
        <v/>
      </c>
      <c r="H146" s="33" t="str">
        <f aca="false">IF(C146&lt;&gt;"", F146*G146, "")</f>
        <v/>
      </c>
      <c r="I146" s="33" t="str">
        <f aca="false">IF(C146&lt;&gt;"", H146+E146, "")</f>
        <v/>
      </c>
      <c r="K146" s="33" t="str">
        <f aca="false">IF(C146&lt;&gt;"", L146-I146, "")</f>
        <v/>
      </c>
      <c r="L146" s="33" t="str">
        <f aca="false">IF(C146&lt;&gt;"", I146/(1-J146), "")</f>
        <v/>
      </c>
      <c r="M146" s="33" t="str">
        <f aca="false">IF(C146&lt;&gt;"", values!$A$2, "")</f>
        <v/>
      </c>
      <c r="N146" s="33" t="str">
        <f aca="false">IF(C146&lt;&gt;"", O146-L146, "")</f>
        <v/>
      </c>
      <c r="O146" s="33" t="str">
        <f aca="false">IF(C146&lt;&gt;"", L146/(1-M146), "")</f>
        <v/>
      </c>
    </row>
    <row r="147" customFormat="false" ht="12.8" hidden="false" customHeight="false" outlineLevel="0" collapsed="false">
      <c r="A147" s="1" t="s">
        <v>1248</v>
      </c>
      <c r="B147" s="31" t="s">
        <v>1249</v>
      </c>
      <c r="D147" s="32" t="str">
        <f aca="true">IF(C147&lt;&gt;"", SUM(INDEX(INDIRECT("'" &amp; B147 &amp; "'.$A$1:$Z$1000"), 0, MATCH("count", INDIRECT("'" &amp; B147 &amp; "'.$A$1:$Z$1"), 0))), "")</f>
        <v/>
      </c>
      <c r="E147" s="33" t="str">
        <f aca="true">IF(C147&lt;&gt;"", SUM(INDEX(INDIRECT("'" &amp; B147 &amp; "'.$A$1:$Z$1000"), 0, MATCH("cost", INDIRECT("'" &amp; B147 &amp; "'.$A$1:$Z$1"), 0))), "")</f>
        <v/>
      </c>
      <c r="F147" s="40" t="str">
        <f aca="true">IF(C147&lt;&gt;"", SUM(INDEX(INDIRECT("'" &amp; B147 &amp; "'.$A$1:$Z$1000"), 0, MATCH("total_assembly_time_min", INDIRECT("'" &amp; B147 &amp; "'.$A$1:$Z$1"), 0)))/60, "")</f>
        <v/>
      </c>
      <c r="G147" s="33" t="str">
        <f aca="false">IF(C147&lt;&gt;"", values!$B$2, "")</f>
        <v/>
      </c>
      <c r="H147" s="33" t="str">
        <f aca="false">IF(C147&lt;&gt;"", F147*G147, "")</f>
        <v/>
      </c>
      <c r="I147" s="33" t="str">
        <f aca="false">IF(C147&lt;&gt;"", H147+E147, "")</f>
        <v/>
      </c>
      <c r="K147" s="33" t="str">
        <f aca="false">IF(C147&lt;&gt;"", L147-I147, "")</f>
        <v/>
      </c>
      <c r="L147" s="33" t="str">
        <f aca="false">IF(C147&lt;&gt;"", I147/(1-J147), "")</f>
        <v/>
      </c>
      <c r="M147" s="33" t="str">
        <f aca="false">IF(C147&lt;&gt;"", values!$A$2, "")</f>
        <v/>
      </c>
      <c r="N147" s="33" t="str">
        <f aca="false">IF(C147&lt;&gt;"", O147-L147, "")</f>
        <v/>
      </c>
      <c r="O147" s="33" t="str">
        <f aca="false">IF(C147&lt;&gt;"", L147/(1-M147), "")</f>
        <v/>
      </c>
    </row>
    <row r="148" customFormat="false" ht="12.8" hidden="false" customHeight="false" outlineLevel="0" collapsed="false">
      <c r="A148" s="1" t="s">
        <v>1250</v>
      </c>
      <c r="B148" s="31" t="s">
        <v>1251</v>
      </c>
      <c r="D148" s="32" t="str">
        <f aca="true">IF(C148&lt;&gt;"", SUM(INDEX(INDIRECT("'" &amp; B148 &amp; "'.$A$1:$Z$1000"), 0, MATCH("count", INDIRECT("'" &amp; B148 &amp; "'.$A$1:$Z$1"), 0))), "")</f>
        <v/>
      </c>
      <c r="E148" s="33" t="str">
        <f aca="true">IF(C148&lt;&gt;"", SUM(INDEX(INDIRECT("'" &amp; B148 &amp; "'.$A$1:$Z$1000"), 0, MATCH("cost", INDIRECT("'" &amp; B148 &amp; "'.$A$1:$Z$1"), 0))), "")</f>
        <v/>
      </c>
      <c r="F148" s="40" t="str">
        <f aca="true">IF(C148&lt;&gt;"", SUM(INDEX(INDIRECT("'" &amp; B148 &amp; "'.$A$1:$Z$1000"), 0, MATCH("total_assembly_time_min", INDIRECT("'" &amp; B148 &amp; "'.$A$1:$Z$1"), 0)))/60, "")</f>
        <v/>
      </c>
      <c r="G148" s="33" t="str">
        <f aca="false">IF(C148&lt;&gt;"", values!$B$2, "")</f>
        <v/>
      </c>
      <c r="H148" s="33" t="str">
        <f aca="false">IF(C148&lt;&gt;"", F148*G148, "")</f>
        <v/>
      </c>
      <c r="I148" s="33" t="str">
        <f aca="false">IF(C148&lt;&gt;"", H148+E148, "")</f>
        <v/>
      </c>
      <c r="K148" s="33" t="str">
        <f aca="false">IF(C148&lt;&gt;"", L148-I148, "")</f>
        <v/>
      </c>
      <c r="L148" s="33" t="str">
        <f aca="false">IF(C148&lt;&gt;"", I148/(1-J148), "")</f>
        <v/>
      </c>
      <c r="M148" s="33" t="str">
        <f aca="false">IF(C148&lt;&gt;"", values!$A$2, "")</f>
        <v/>
      </c>
      <c r="N148" s="33" t="str">
        <f aca="false">IF(C148&lt;&gt;"", O148-L148, "")</f>
        <v/>
      </c>
      <c r="O148" s="33" t="str">
        <f aca="false">IF(C148&lt;&gt;"", L148/(1-M148), "")</f>
        <v/>
      </c>
    </row>
    <row r="149" customFormat="false" ht="12.8" hidden="false" customHeight="false" outlineLevel="0" collapsed="false">
      <c r="A149" s="1" t="s">
        <v>1252</v>
      </c>
      <c r="B149" s="31" t="s">
        <v>1253</v>
      </c>
      <c r="D149" s="32" t="str">
        <f aca="true">IF(C149&lt;&gt;"", SUM(INDEX(INDIRECT("'" &amp; B149 &amp; "'.$A$1:$Z$1000"), 0, MATCH("count", INDIRECT("'" &amp; B149 &amp; "'.$A$1:$Z$1"), 0))), "")</f>
        <v/>
      </c>
      <c r="E149" s="33" t="str">
        <f aca="true">IF(C149&lt;&gt;"", SUM(INDEX(INDIRECT("'" &amp; B149 &amp; "'.$A$1:$Z$1000"), 0, MATCH("cost", INDIRECT("'" &amp; B149 &amp; "'.$A$1:$Z$1"), 0))), "")</f>
        <v/>
      </c>
      <c r="F149" s="40" t="str">
        <f aca="true">IF(C149&lt;&gt;"", SUM(INDEX(INDIRECT("'" &amp; B149 &amp; "'.$A$1:$Z$1000"), 0, MATCH("total_assembly_time_min", INDIRECT("'" &amp; B149 &amp; "'.$A$1:$Z$1"), 0)))/60, "")</f>
        <v/>
      </c>
      <c r="G149" s="33" t="str">
        <f aca="false">IF(C149&lt;&gt;"", values!$B$2, "")</f>
        <v/>
      </c>
      <c r="H149" s="33" t="str">
        <f aca="false">IF(C149&lt;&gt;"", F149*G149, "")</f>
        <v/>
      </c>
      <c r="I149" s="33" t="str">
        <f aca="false">IF(C149&lt;&gt;"", H149+E149, "")</f>
        <v/>
      </c>
      <c r="K149" s="33" t="str">
        <f aca="false">IF(C149&lt;&gt;"", L149-I149, "")</f>
        <v/>
      </c>
      <c r="L149" s="33" t="str">
        <f aca="false">IF(C149&lt;&gt;"", I149/(1-J149), "")</f>
        <v/>
      </c>
      <c r="M149" s="33" t="str">
        <f aca="false">IF(C149&lt;&gt;"", values!$A$2, "")</f>
        <v/>
      </c>
      <c r="N149" s="33" t="str">
        <f aca="false">IF(C149&lt;&gt;"", O149-L149, "")</f>
        <v/>
      </c>
      <c r="O149" s="33" t="str">
        <f aca="false">IF(C149&lt;&gt;"", L149/(1-M149), "")</f>
        <v/>
      </c>
    </row>
    <row r="150" customFormat="false" ht="12.8" hidden="false" customHeight="false" outlineLevel="0" collapsed="false">
      <c r="A150" s="1" t="s">
        <v>1254</v>
      </c>
      <c r="B150" s="31" t="s">
        <v>1255</v>
      </c>
      <c r="D150" s="32" t="str">
        <f aca="true">IF(C150&lt;&gt;"", SUM(INDEX(INDIRECT("'" &amp; B150 &amp; "'.$A$1:$Z$1000"), 0, MATCH("count", INDIRECT("'" &amp; B150 &amp; "'.$A$1:$Z$1"), 0))), "")</f>
        <v/>
      </c>
      <c r="E150" s="33" t="str">
        <f aca="true">IF(C150&lt;&gt;"", SUM(INDEX(INDIRECT("'" &amp; B150 &amp; "'.$A$1:$Z$1000"), 0, MATCH("cost", INDIRECT("'" &amp; B150 &amp; "'.$A$1:$Z$1"), 0))), "")</f>
        <v/>
      </c>
      <c r="F150" s="40" t="str">
        <f aca="true">IF(C150&lt;&gt;"", SUM(INDEX(INDIRECT("'" &amp; B150 &amp; "'.$A$1:$Z$1000"), 0, MATCH("total_assembly_time_min", INDIRECT("'" &amp; B150 &amp; "'.$A$1:$Z$1"), 0)))/60, "")</f>
        <v/>
      </c>
      <c r="G150" s="33" t="str">
        <f aca="false">IF(C150&lt;&gt;"", values!$B$2, "")</f>
        <v/>
      </c>
      <c r="H150" s="33" t="str">
        <f aca="false">IF(C150&lt;&gt;"", F150*G150, "")</f>
        <v/>
      </c>
      <c r="I150" s="33" t="str">
        <f aca="false">IF(C150&lt;&gt;"", H150+E150, "")</f>
        <v/>
      </c>
      <c r="K150" s="33" t="str">
        <f aca="false">IF(C150&lt;&gt;"", L150-I150, "")</f>
        <v/>
      </c>
      <c r="L150" s="33" t="str">
        <f aca="false">IF(C150&lt;&gt;"", I150/(1-J150), "")</f>
        <v/>
      </c>
      <c r="M150" s="33" t="str">
        <f aca="false">IF(C150&lt;&gt;"", values!$A$2, "")</f>
        <v/>
      </c>
      <c r="N150" s="33" t="str">
        <f aca="false">IF(C150&lt;&gt;"", O150-L150, "")</f>
        <v/>
      </c>
      <c r="O150" s="33" t="str">
        <f aca="false">IF(C150&lt;&gt;"", L150/(1-M150), "")</f>
        <v/>
      </c>
    </row>
    <row r="151" customFormat="false" ht="12.8" hidden="false" customHeight="false" outlineLevel="0" collapsed="false">
      <c r="A151" s="1" t="s">
        <v>1256</v>
      </c>
      <c r="B151" s="31" t="s">
        <v>1257</v>
      </c>
      <c r="D151" s="32" t="str">
        <f aca="true">IF(C151&lt;&gt;"", SUM(INDEX(INDIRECT("'" &amp; B151 &amp; "'.$A$1:$Z$1000"), 0, MATCH("count", INDIRECT("'" &amp; B151 &amp; "'.$A$1:$Z$1"), 0))), "")</f>
        <v/>
      </c>
      <c r="E151" s="33" t="str">
        <f aca="true">IF(C151&lt;&gt;"", SUM(INDEX(INDIRECT("'" &amp; B151 &amp; "'.$A$1:$Z$1000"), 0, MATCH("cost", INDIRECT("'" &amp; B151 &amp; "'.$A$1:$Z$1"), 0))), "")</f>
        <v/>
      </c>
      <c r="F151" s="40" t="str">
        <f aca="true">IF(C151&lt;&gt;"", SUM(INDEX(INDIRECT("'" &amp; B151 &amp; "'.$A$1:$Z$1000"), 0, MATCH("total_assembly_time_min", INDIRECT("'" &amp; B151 &amp; "'.$A$1:$Z$1"), 0)))/60, "")</f>
        <v/>
      </c>
      <c r="G151" s="33" t="str">
        <f aca="false">IF(C151&lt;&gt;"", values!$B$2, "")</f>
        <v/>
      </c>
      <c r="H151" s="33" t="str">
        <f aca="false">IF(C151&lt;&gt;"", F151*G151, "")</f>
        <v/>
      </c>
      <c r="I151" s="33" t="str">
        <f aca="false">IF(C151&lt;&gt;"", H151+E151, "")</f>
        <v/>
      </c>
      <c r="K151" s="33" t="str">
        <f aca="false">IF(C151&lt;&gt;"", L151-I151, "")</f>
        <v/>
      </c>
      <c r="L151" s="33" t="str">
        <f aca="false">IF(C151&lt;&gt;"", I151/(1-J151), "")</f>
        <v/>
      </c>
      <c r="M151" s="33" t="str">
        <f aca="false">IF(C151&lt;&gt;"", values!$A$2, "")</f>
        <v/>
      </c>
      <c r="N151" s="33" t="str">
        <f aca="false">IF(C151&lt;&gt;"", O151-L151, "")</f>
        <v/>
      </c>
      <c r="O151" s="33" t="str">
        <f aca="false">IF(C151&lt;&gt;"", L151/(1-M151), "")</f>
        <v/>
      </c>
    </row>
    <row r="152" customFormat="false" ht="12.8" hidden="false" customHeight="false" outlineLevel="0" collapsed="false">
      <c r="A152" s="1" t="s">
        <v>1258</v>
      </c>
      <c r="B152" s="31" t="s">
        <v>1259</v>
      </c>
      <c r="D152" s="32" t="str">
        <f aca="true">IF(C152&lt;&gt;"", SUM(INDEX(INDIRECT("'" &amp; B152 &amp; "'.$A$1:$Z$1000"), 0, MATCH("count", INDIRECT("'" &amp; B152 &amp; "'.$A$1:$Z$1"), 0))), "")</f>
        <v/>
      </c>
      <c r="E152" s="33" t="str">
        <f aca="true">IF(C152&lt;&gt;"", SUM(INDEX(INDIRECT("'" &amp; B152 &amp; "'.$A$1:$Z$1000"), 0, MATCH("cost", INDIRECT("'" &amp; B152 &amp; "'.$A$1:$Z$1"), 0))), "")</f>
        <v/>
      </c>
      <c r="F152" s="40" t="str">
        <f aca="true">IF(C152&lt;&gt;"", SUM(INDEX(INDIRECT("'" &amp; B152 &amp; "'.$A$1:$Z$1000"), 0, MATCH("total_assembly_time_min", INDIRECT("'" &amp; B152 &amp; "'.$A$1:$Z$1"), 0)))/60, "")</f>
        <v/>
      </c>
      <c r="G152" s="33" t="str">
        <f aca="false">IF(C152&lt;&gt;"", values!$B$2, "")</f>
        <v/>
      </c>
      <c r="H152" s="33" t="str">
        <f aca="false">IF(C152&lt;&gt;"", F152*G152, "")</f>
        <v/>
      </c>
      <c r="I152" s="33" t="str">
        <f aca="false">IF(C152&lt;&gt;"", H152+E152, "")</f>
        <v/>
      </c>
      <c r="K152" s="33" t="str">
        <f aca="false">IF(C152&lt;&gt;"", L152-I152, "")</f>
        <v/>
      </c>
      <c r="L152" s="33" t="str">
        <f aca="false">IF(C152&lt;&gt;"", I152/(1-J152), "")</f>
        <v/>
      </c>
      <c r="M152" s="33" t="str">
        <f aca="false">IF(C152&lt;&gt;"", values!$A$2, "")</f>
        <v/>
      </c>
      <c r="N152" s="33" t="str">
        <f aca="false">IF(C152&lt;&gt;"", O152-L152, "")</f>
        <v/>
      </c>
      <c r="O152" s="33" t="str">
        <f aca="false">IF(C152&lt;&gt;"", L152/(1-M152), "")</f>
        <v/>
      </c>
    </row>
    <row r="153" customFormat="false" ht="12.8" hidden="false" customHeight="false" outlineLevel="0" collapsed="false">
      <c r="A153" s="1" t="s">
        <v>1260</v>
      </c>
      <c r="B153" s="31" t="s">
        <v>1261</v>
      </c>
      <c r="D153" s="32" t="str">
        <f aca="true">IF(C153&lt;&gt;"", SUM(INDEX(INDIRECT("'" &amp; B153 &amp; "'.$A$1:$Z$1000"), 0, MATCH("count", INDIRECT("'" &amp; B153 &amp; "'.$A$1:$Z$1"), 0))), "")</f>
        <v/>
      </c>
      <c r="E153" s="33" t="str">
        <f aca="true">IF(C153&lt;&gt;"", SUM(INDEX(INDIRECT("'" &amp; B153 &amp; "'.$A$1:$Z$1000"), 0, MATCH("cost", INDIRECT("'" &amp; B153 &amp; "'.$A$1:$Z$1"), 0))), "")</f>
        <v/>
      </c>
      <c r="F153" s="40" t="str">
        <f aca="true">IF(C153&lt;&gt;"", SUM(INDEX(INDIRECT("'" &amp; B153 &amp; "'.$A$1:$Z$1000"), 0, MATCH("total_assembly_time_min", INDIRECT("'" &amp; B153 &amp; "'.$A$1:$Z$1"), 0)))/60, "")</f>
        <v/>
      </c>
      <c r="G153" s="33" t="str">
        <f aca="false">IF(C153&lt;&gt;"", values!$B$2, "")</f>
        <v/>
      </c>
      <c r="H153" s="33" t="str">
        <f aca="false">IF(C153&lt;&gt;"", F153*G153, "")</f>
        <v/>
      </c>
      <c r="I153" s="33" t="str">
        <f aca="false">IF(C153&lt;&gt;"", H153+E153, "")</f>
        <v/>
      </c>
      <c r="K153" s="33" t="str">
        <f aca="false">IF(C153&lt;&gt;"", L153-I153, "")</f>
        <v/>
      </c>
      <c r="L153" s="33" t="str">
        <f aca="false">IF(C153&lt;&gt;"", I153/(1-J153), "")</f>
        <v/>
      </c>
      <c r="M153" s="33" t="str">
        <f aca="false">IF(C153&lt;&gt;"", values!$A$2, "")</f>
        <v/>
      </c>
      <c r="N153" s="33" t="str">
        <f aca="false">IF(C153&lt;&gt;"", O153-L153, "")</f>
        <v/>
      </c>
      <c r="O153" s="33" t="str">
        <f aca="false">IF(C153&lt;&gt;"", L153/(1-M153), "")</f>
        <v/>
      </c>
    </row>
    <row r="154" customFormat="false" ht="12.8" hidden="false" customHeight="false" outlineLevel="0" collapsed="false">
      <c r="A154" s="1" t="s">
        <v>1262</v>
      </c>
      <c r="B154" s="31" t="s">
        <v>1263</v>
      </c>
      <c r="D154" s="32" t="str">
        <f aca="true">IF(C154&lt;&gt;"", SUM(INDEX(INDIRECT("'" &amp; B154 &amp; "'.$A$1:$Z$1000"), 0, MATCH("count", INDIRECT("'" &amp; B154 &amp; "'.$A$1:$Z$1"), 0))), "")</f>
        <v/>
      </c>
      <c r="E154" s="33" t="str">
        <f aca="true">IF(C154&lt;&gt;"", SUM(INDEX(INDIRECT("'" &amp; B154 &amp; "'.$A$1:$Z$1000"), 0, MATCH("cost", INDIRECT("'" &amp; B154 &amp; "'.$A$1:$Z$1"), 0))), "")</f>
        <v/>
      </c>
      <c r="F154" s="40" t="str">
        <f aca="true">IF(C154&lt;&gt;"", SUM(INDEX(INDIRECT("'" &amp; B154 &amp; "'.$A$1:$Z$1000"), 0, MATCH("total_assembly_time_min", INDIRECT("'" &amp; B154 &amp; "'.$A$1:$Z$1"), 0)))/60, "")</f>
        <v/>
      </c>
      <c r="G154" s="33" t="str">
        <f aca="false">IF(C154&lt;&gt;"", values!$B$2, "")</f>
        <v/>
      </c>
      <c r="H154" s="33" t="str">
        <f aca="false">IF(C154&lt;&gt;"", F154*G154, "")</f>
        <v/>
      </c>
      <c r="I154" s="33" t="str">
        <f aca="false">IF(C154&lt;&gt;"", H154+E154, "")</f>
        <v/>
      </c>
      <c r="K154" s="33" t="str">
        <f aca="false">IF(C154&lt;&gt;"", L154-I154, "")</f>
        <v/>
      </c>
      <c r="L154" s="33" t="str">
        <f aca="false">IF(C154&lt;&gt;"", I154/(1-J154), "")</f>
        <v/>
      </c>
      <c r="M154" s="33" t="str">
        <f aca="false">IF(C154&lt;&gt;"", values!$A$2, "")</f>
        <v/>
      </c>
      <c r="N154" s="33" t="str">
        <f aca="false">IF(C154&lt;&gt;"", O154-L154, "")</f>
        <v/>
      </c>
      <c r="O154" s="33" t="str">
        <f aca="false">IF(C154&lt;&gt;"", L154/(1-M154), "")</f>
        <v/>
      </c>
    </row>
    <row r="155" customFormat="false" ht="12.8" hidden="false" customHeight="false" outlineLevel="0" collapsed="false">
      <c r="A155" s="1" t="s">
        <v>1264</v>
      </c>
      <c r="B155" s="31" t="s">
        <v>1265</v>
      </c>
      <c r="D155" s="32" t="str">
        <f aca="true">IF(C155&lt;&gt;"", SUM(INDEX(INDIRECT("'" &amp; B155 &amp; "'.$A$1:$Z$1000"), 0, MATCH("count", INDIRECT("'" &amp; B155 &amp; "'.$A$1:$Z$1"), 0))), "")</f>
        <v/>
      </c>
      <c r="E155" s="33" t="str">
        <f aca="true">IF(C155&lt;&gt;"", SUM(INDEX(INDIRECT("'" &amp; B155 &amp; "'.$A$1:$Z$1000"), 0, MATCH("cost", INDIRECT("'" &amp; B155 &amp; "'.$A$1:$Z$1"), 0))), "")</f>
        <v/>
      </c>
      <c r="F155" s="40" t="str">
        <f aca="true">IF(C155&lt;&gt;"", SUM(INDEX(INDIRECT("'" &amp; B155 &amp; "'.$A$1:$Z$1000"), 0, MATCH("total_assembly_time_min", INDIRECT("'" &amp; B155 &amp; "'.$A$1:$Z$1"), 0)))/60, "")</f>
        <v/>
      </c>
      <c r="G155" s="33" t="str">
        <f aca="false">IF(C155&lt;&gt;"", values!$B$2, "")</f>
        <v/>
      </c>
      <c r="H155" s="33" t="str">
        <f aca="false">IF(C155&lt;&gt;"", F155*G155, "")</f>
        <v/>
      </c>
      <c r="I155" s="33" t="str">
        <f aca="false">IF(C155&lt;&gt;"", H155+E155, "")</f>
        <v/>
      </c>
      <c r="K155" s="33" t="str">
        <f aca="false">IF(C155&lt;&gt;"", L155-I155, "")</f>
        <v/>
      </c>
      <c r="L155" s="33" t="str">
        <f aca="false">IF(C155&lt;&gt;"", I155/(1-J155), "")</f>
        <v/>
      </c>
      <c r="M155" s="33" t="str">
        <f aca="false">IF(C155&lt;&gt;"", values!$A$2, "")</f>
        <v/>
      </c>
      <c r="N155" s="33" t="str">
        <f aca="false">IF(C155&lt;&gt;"", O155-L155, "")</f>
        <v/>
      </c>
      <c r="O155" s="33" t="str">
        <f aca="false">IF(C155&lt;&gt;"", L155/(1-M155), "")</f>
        <v/>
      </c>
    </row>
    <row r="156" customFormat="false" ht="12.8" hidden="false" customHeight="false" outlineLevel="0" collapsed="false">
      <c r="A156" s="1" t="s">
        <v>1266</v>
      </c>
      <c r="B156" s="31" t="s">
        <v>1267</v>
      </c>
      <c r="D156" s="32" t="str">
        <f aca="true">IF(C156&lt;&gt;"", SUM(INDEX(INDIRECT("'" &amp; B156 &amp; "'.$A$1:$Z$1000"), 0, MATCH("count", INDIRECT("'" &amp; B156 &amp; "'.$A$1:$Z$1"), 0))), "")</f>
        <v/>
      </c>
      <c r="E156" s="33" t="str">
        <f aca="true">IF(C156&lt;&gt;"", SUM(INDEX(INDIRECT("'" &amp; B156 &amp; "'.$A$1:$Z$1000"), 0, MATCH("cost", INDIRECT("'" &amp; B156 &amp; "'.$A$1:$Z$1"), 0))), "")</f>
        <v/>
      </c>
      <c r="F156" s="40" t="str">
        <f aca="true">IF(C156&lt;&gt;"", SUM(INDEX(INDIRECT("'" &amp; B156 &amp; "'.$A$1:$Z$1000"), 0, MATCH("total_assembly_time_min", INDIRECT("'" &amp; B156 &amp; "'.$A$1:$Z$1"), 0)))/60, "")</f>
        <v/>
      </c>
      <c r="G156" s="33" t="str">
        <f aca="false">IF(C156&lt;&gt;"", values!$B$2, "")</f>
        <v/>
      </c>
      <c r="H156" s="33" t="str">
        <f aca="false">IF(C156&lt;&gt;"", F156*G156, "")</f>
        <v/>
      </c>
      <c r="I156" s="33" t="str">
        <f aca="false">IF(C156&lt;&gt;"", H156+E156, "")</f>
        <v/>
      </c>
      <c r="K156" s="33" t="str">
        <f aca="false">IF(C156&lt;&gt;"", L156-I156, "")</f>
        <v/>
      </c>
      <c r="L156" s="33" t="str">
        <f aca="false">IF(C156&lt;&gt;"", I156/(1-J156), "")</f>
        <v/>
      </c>
      <c r="M156" s="33" t="str">
        <f aca="false">IF(C156&lt;&gt;"", values!$A$2, "")</f>
        <v/>
      </c>
      <c r="N156" s="33" t="str">
        <f aca="false">IF(C156&lt;&gt;"", O156-L156, "")</f>
        <v/>
      </c>
      <c r="O156" s="33" t="str">
        <f aca="false">IF(C156&lt;&gt;"", L156/(1-M156), "")</f>
        <v/>
      </c>
    </row>
    <row r="157" customFormat="false" ht="12.8" hidden="false" customHeight="false" outlineLevel="0" collapsed="false">
      <c r="A157" s="1" t="s">
        <v>1268</v>
      </c>
      <c r="B157" s="31" t="s">
        <v>1269</v>
      </c>
      <c r="D157" s="32" t="str">
        <f aca="true">IF(C157&lt;&gt;"", SUM(INDEX(INDIRECT("'" &amp; B157 &amp; "'.$A$1:$Z$1000"), 0, MATCH("count", INDIRECT("'" &amp; B157 &amp; "'.$A$1:$Z$1"), 0))), "")</f>
        <v/>
      </c>
      <c r="E157" s="33" t="str">
        <f aca="true">IF(C157&lt;&gt;"", SUM(INDEX(INDIRECT("'" &amp; B157 &amp; "'.$A$1:$Z$1000"), 0, MATCH("cost", INDIRECT("'" &amp; B157 &amp; "'.$A$1:$Z$1"), 0))), "")</f>
        <v/>
      </c>
      <c r="F157" s="40" t="str">
        <f aca="true">IF(C157&lt;&gt;"", SUM(INDEX(INDIRECT("'" &amp; B157 &amp; "'.$A$1:$Z$1000"), 0, MATCH("total_assembly_time_min", INDIRECT("'" &amp; B157 &amp; "'.$A$1:$Z$1"), 0)))/60, "")</f>
        <v/>
      </c>
      <c r="G157" s="33" t="str">
        <f aca="false">IF(C157&lt;&gt;"", values!$B$2, "")</f>
        <v/>
      </c>
      <c r="H157" s="33" t="str">
        <f aca="false">IF(C157&lt;&gt;"", F157*G157, "")</f>
        <v/>
      </c>
      <c r="I157" s="33" t="str">
        <f aca="false">IF(C157&lt;&gt;"", H157+E157, "")</f>
        <v/>
      </c>
      <c r="K157" s="33" t="str">
        <f aca="false">IF(C157&lt;&gt;"", L157-I157, "")</f>
        <v/>
      </c>
      <c r="L157" s="33" t="str">
        <f aca="false">IF(C157&lt;&gt;"", I157/(1-J157), "")</f>
        <v/>
      </c>
      <c r="M157" s="33" t="str">
        <f aca="false">IF(C157&lt;&gt;"", values!$A$2, "")</f>
        <v/>
      </c>
      <c r="N157" s="33" t="str">
        <f aca="false">IF(C157&lt;&gt;"", O157-L157, "")</f>
        <v/>
      </c>
      <c r="O157" s="33" t="str">
        <f aca="false">IF(C157&lt;&gt;"", L157/(1-M157), "")</f>
        <v/>
      </c>
    </row>
    <row r="158" customFormat="false" ht="12.8" hidden="false" customHeight="false" outlineLevel="0" collapsed="false">
      <c r="A158" s="1" t="s">
        <v>1270</v>
      </c>
      <c r="B158" s="31" t="s">
        <v>1271</v>
      </c>
      <c r="D158" s="32" t="str">
        <f aca="true">IF(C158&lt;&gt;"", SUM(INDEX(INDIRECT("'" &amp; B158 &amp; "'.$A$1:$Z$1000"), 0, MATCH("count", INDIRECT("'" &amp; B158 &amp; "'.$A$1:$Z$1"), 0))), "")</f>
        <v/>
      </c>
      <c r="E158" s="33" t="str">
        <f aca="true">IF(C158&lt;&gt;"", SUM(INDEX(INDIRECT("'" &amp; B158 &amp; "'.$A$1:$Z$1000"), 0, MATCH("cost", INDIRECT("'" &amp; B158 &amp; "'.$A$1:$Z$1"), 0))), "")</f>
        <v/>
      </c>
      <c r="F158" s="40" t="str">
        <f aca="true">IF(C158&lt;&gt;"", SUM(INDEX(INDIRECT("'" &amp; B158 &amp; "'.$A$1:$Z$1000"), 0, MATCH("total_assembly_time_min", INDIRECT("'" &amp; B158 &amp; "'.$A$1:$Z$1"), 0)))/60, "")</f>
        <v/>
      </c>
      <c r="G158" s="33" t="str">
        <f aca="false">IF(C158&lt;&gt;"", values!$B$2, "")</f>
        <v/>
      </c>
      <c r="H158" s="33" t="str">
        <f aca="false">IF(C158&lt;&gt;"", F158*G158, "")</f>
        <v/>
      </c>
      <c r="I158" s="33" t="str">
        <f aca="false">IF(C158&lt;&gt;"", H158+E158, "")</f>
        <v/>
      </c>
      <c r="K158" s="33" t="str">
        <f aca="false">IF(C158&lt;&gt;"", L158-I158, "")</f>
        <v/>
      </c>
      <c r="L158" s="33" t="str">
        <f aca="false">IF(C158&lt;&gt;"", I158/(1-J158), "")</f>
        <v/>
      </c>
      <c r="M158" s="33" t="str">
        <f aca="false">IF(C158&lt;&gt;"", values!$A$2, "")</f>
        <v/>
      </c>
      <c r="N158" s="33" t="str">
        <f aca="false">IF(C158&lt;&gt;"", O158-L158, "")</f>
        <v/>
      </c>
      <c r="O158" s="33" t="str">
        <f aca="false">IF(C158&lt;&gt;"", L158/(1-M158), "")</f>
        <v/>
      </c>
    </row>
    <row r="159" customFormat="false" ht="12.8" hidden="false" customHeight="false" outlineLevel="0" collapsed="false">
      <c r="A159" s="1" t="s">
        <v>1272</v>
      </c>
      <c r="B159" s="31" t="s">
        <v>1273</v>
      </c>
      <c r="D159" s="32" t="str">
        <f aca="true">IF(C159&lt;&gt;"", SUM(INDEX(INDIRECT("'" &amp; B159 &amp; "'.$A$1:$Z$1000"), 0, MATCH("count", INDIRECT("'" &amp; B159 &amp; "'.$A$1:$Z$1"), 0))), "")</f>
        <v/>
      </c>
      <c r="E159" s="33" t="str">
        <f aca="true">IF(C159&lt;&gt;"", SUM(INDEX(INDIRECT("'" &amp; B159 &amp; "'.$A$1:$Z$1000"), 0, MATCH("cost", INDIRECT("'" &amp; B159 &amp; "'.$A$1:$Z$1"), 0))), "")</f>
        <v/>
      </c>
      <c r="F159" s="40" t="str">
        <f aca="true">IF(C159&lt;&gt;"", SUM(INDEX(INDIRECT("'" &amp; B159 &amp; "'.$A$1:$Z$1000"), 0, MATCH("total_assembly_time_min", INDIRECT("'" &amp; B159 &amp; "'.$A$1:$Z$1"), 0)))/60, "")</f>
        <v/>
      </c>
      <c r="G159" s="33" t="str">
        <f aca="false">IF(C159&lt;&gt;"", values!$B$2, "")</f>
        <v/>
      </c>
      <c r="H159" s="33" t="str">
        <f aca="false">IF(C159&lt;&gt;"", F159*G159, "")</f>
        <v/>
      </c>
      <c r="I159" s="33" t="str">
        <f aca="false">IF(C159&lt;&gt;"", H159+E159, "")</f>
        <v/>
      </c>
      <c r="K159" s="33" t="str">
        <f aca="false">IF(C159&lt;&gt;"", L159-I159, "")</f>
        <v/>
      </c>
      <c r="L159" s="33" t="str">
        <f aca="false">IF(C159&lt;&gt;"", I159/(1-J159), "")</f>
        <v/>
      </c>
      <c r="M159" s="33" t="str">
        <f aca="false">IF(C159&lt;&gt;"", values!$A$2, "")</f>
        <v/>
      </c>
      <c r="N159" s="33" t="str">
        <f aca="false">IF(C159&lt;&gt;"", O159-L159, "")</f>
        <v/>
      </c>
      <c r="O159" s="33" t="str">
        <f aca="false">IF(C159&lt;&gt;"", L159/(1-M159), "")</f>
        <v/>
      </c>
    </row>
    <row r="160" customFormat="false" ht="12.8" hidden="false" customHeight="false" outlineLevel="0" collapsed="false">
      <c r="A160" s="1" t="s">
        <v>1274</v>
      </c>
      <c r="B160" s="31" t="s">
        <v>1275</v>
      </c>
      <c r="D160" s="32" t="str">
        <f aca="true">IF(C160&lt;&gt;"", SUM(INDEX(INDIRECT("'" &amp; B160 &amp; "'.$A$1:$Z$1000"), 0, MATCH("count", INDIRECT("'" &amp; B160 &amp; "'.$A$1:$Z$1"), 0))), "")</f>
        <v/>
      </c>
      <c r="E160" s="33" t="str">
        <f aca="true">IF(C160&lt;&gt;"", SUM(INDEX(INDIRECT("'" &amp; B160 &amp; "'.$A$1:$Z$1000"), 0, MATCH("cost", INDIRECT("'" &amp; B160 &amp; "'.$A$1:$Z$1"), 0))), "")</f>
        <v/>
      </c>
      <c r="F160" s="40" t="str">
        <f aca="true">IF(C160&lt;&gt;"", SUM(INDEX(INDIRECT("'" &amp; B160 &amp; "'.$A$1:$Z$1000"), 0, MATCH("total_assembly_time_min", INDIRECT("'" &amp; B160 &amp; "'.$A$1:$Z$1"), 0)))/60, "")</f>
        <v/>
      </c>
      <c r="G160" s="33" t="str">
        <f aca="false">IF(C160&lt;&gt;"", values!$B$2, "")</f>
        <v/>
      </c>
      <c r="H160" s="33" t="str">
        <f aca="false">IF(C160&lt;&gt;"", F160*G160, "")</f>
        <v/>
      </c>
      <c r="I160" s="33" t="str">
        <f aca="false">IF(C160&lt;&gt;"", H160+E160, "")</f>
        <v/>
      </c>
      <c r="K160" s="33" t="str">
        <f aca="false">IF(C160&lt;&gt;"", L160-I160, "")</f>
        <v/>
      </c>
      <c r="L160" s="33" t="str">
        <f aca="false">IF(C160&lt;&gt;"", I160/(1-J160), "")</f>
        <v/>
      </c>
      <c r="M160" s="33" t="str">
        <f aca="false">IF(C160&lt;&gt;"", values!$A$2, "")</f>
        <v/>
      </c>
      <c r="N160" s="33" t="str">
        <f aca="false">IF(C160&lt;&gt;"", O160-L160, "")</f>
        <v/>
      </c>
      <c r="O160" s="33" t="str">
        <f aca="false">IF(C160&lt;&gt;"", L160/(1-M160), "")</f>
        <v/>
      </c>
    </row>
    <row r="161" customFormat="false" ht="12.8" hidden="false" customHeight="false" outlineLevel="0" collapsed="false">
      <c r="A161" s="1" t="s">
        <v>1276</v>
      </c>
      <c r="B161" s="31" t="s">
        <v>1277</v>
      </c>
      <c r="D161" s="32" t="str">
        <f aca="true">IF(C161&lt;&gt;"", SUM(INDEX(INDIRECT("'" &amp; B161 &amp; "'.$A$1:$Z$1000"), 0, MATCH("count", INDIRECT("'" &amp; B161 &amp; "'.$A$1:$Z$1"), 0))), "")</f>
        <v/>
      </c>
      <c r="E161" s="33" t="str">
        <f aca="true">IF(C161&lt;&gt;"", SUM(INDEX(INDIRECT("'" &amp; B161 &amp; "'.$A$1:$Z$1000"), 0, MATCH("cost", INDIRECT("'" &amp; B161 &amp; "'.$A$1:$Z$1"), 0))), "")</f>
        <v/>
      </c>
      <c r="F161" s="40" t="str">
        <f aca="true">IF(C161&lt;&gt;"", SUM(INDEX(INDIRECT("'" &amp; B161 &amp; "'.$A$1:$Z$1000"), 0, MATCH("total_assembly_time_min", INDIRECT("'" &amp; B161 &amp; "'.$A$1:$Z$1"), 0)))/60, "")</f>
        <v/>
      </c>
      <c r="G161" s="33" t="str">
        <f aca="false">IF(C161&lt;&gt;"", values!$B$2, "")</f>
        <v/>
      </c>
      <c r="H161" s="33" t="str">
        <f aca="false">IF(C161&lt;&gt;"", F161*G161, "")</f>
        <v/>
      </c>
      <c r="I161" s="33" t="str">
        <f aca="false">IF(C161&lt;&gt;"", H161+E161, "")</f>
        <v/>
      </c>
      <c r="K161" s="33" t="str">
        <f aca="false">IF(C161&lt;&gt;"", L161-I161, "")</f>
        <v/>
      </c>
      <c r="L161" s="33" t="str">
        <f aca="false">IF(C161&lt;&gt;"", I161/(1-J161), "")</f>
        <v/>
      </c>
      <c r="M161" s="33" t="str">
        <f aca="false">IF(C161&lt;&gt;"", values!$A$2, "")</f>
        <v/>
      </c>
      <c r="N161" s="33" t="str">
        <f aca="false">IF(C161&lt;&gt;"", O161-L161, "")</f>
        <v/>
      </c>
      <c r="O161" s="33" t="str">
        <f aca="false">IF(C161&lt;&gt;"", L161/(1-M161), "")</f>
        <v/>
      </c>
    </row>
    <row r="162" customFormat="false" ht="12.8" hidden="false" customHeight="false" outlineLevel="0" collapsed="false">
      <c r="A162" s="1" t="s">
        <v>1278</v>
      </c>
      <c r="B162" s="31" t="s">
        <v>1279</v>
      </c>
      <c r="D162" s="32" t="str">
        <f aca="true">IF(C162&lt;&gt;"", SUM(INDEX(INDIRECT("'" &amp; B162 &amp; "'.$A$1:$Z$1000"), 0, MATCH("count", INDIRECT("'" &amp; B162 &amp; "'.$A$1:$Z$1"), 0))), "")</f>
        <v/>
      </c>
      <c r="E162" s="33" t="str">
        <f aca="true">IF(C162&lt;&gt;"", SUM(INDEX(INDIRECT("'" &amp; B162 &amp; "'.$A$1:$Z$1000"), 0, MATCH("cost", INDIRECT("'" &amp; B162 &amp; "'.$A$1:$Z$1"), 0))), "")</f>
        <v/>
      </c>
      <c r="F162" s="40" t="str">
        <f aca="true">IF(C162&lt;&gt;"", SUM(INDEX(INDIRECT("'" &amp; B162 &amp; "'.$A$1:$Z$1000"), 0, MATCH("total_assembly_time_min", INDIRECT("'" &amp; B162 &amp; "'.$A$1:$Z$1"), 0)))/60, "")</f>
        <v/>
      </c>
      <c r="G162" s="33" t="str">
        <f aca="false">IF(C162&lt;&gt;"", values!$B$2, "")</f>
        <v/>
      </c>
      <c r="H162" s="33" t="str">
        <f aca="false">IF(C162&lt;&gt;"", F162*G162, "")</f>
        <v/>
      </c>
      <c r="I162" s="33" t="str">
        <f aca="false">IF(C162&lt;&gt;"", H162+E162, "")</f>
        <v/>
      </c>
      <c r="K162" s="33" t="str">
        <f aca="false">IF(C162&lt;&gt;"", L162-I162, "")</f>
        <v/>
      </c>
      <c r="L162" s="33" t="str">
        <f aca="false">IF(C162&lt;&gt;"", I162/(1-J162), "")</f>
        <v/>
      </c>
      <c r="M162" s="33" t="str">
        <f aca="false">IF(C162&lt;&gt;"", values!$A$2, "")</f>
        <v/>
      </c>
      <c r="N162" s="33" t="str">
        <f aca="false">IF(C162&lt;&gt;"", O162-L162, "")</f>
        <v/>
      </c>
      <c r="O162" s="33" t="str">
        <f aca="false">IF(C162&lt;&gt;"", L162/(1-M162), "")</f>
        <v/>
      </c>
    </row>
    <row r="163" customFormat="false" ht="12.8" hidden="false" customHeight="false" outlineLevel="0" collapsed="false">
      <c r="A163" s="1" t="s">
        <v>1280</v>
      </c>
      <c r="B163" s="31" t="s">
        <v>1281</v>
      </c>
      <c r="D163" s="32" t="str">
        <f aca="true">IF(C163&lt;&gt;"", SUM(INDEX(INDIRECT("'" &amp; B163 &amp; "'.$A$1:$Z$1000"), 0, MATCH("count", INDIRECT("'" &amp; B163 &amp; "'.$A$1:$Z$1"), 0))), "")</f>
        <v/>
      </c>
      <c r="E163" s="33" t="str">
        <f aca="true">IF(C163&lt;&gt;"", SUM(INDEX(INDIRECT("'" &amp; B163 &amp; "'.$A$1:$Z$1000"), 0, MATCH("cost", INDIRECT("'" &amp; B163 &amp; "'.$A$1:$Z$1"), 0))), "")</f>
        <v/>
      </c>
      <c r="F163" s="40" t="str">
        <f aca="true">IF(C163&lt;&gt;"", SUM(INDEX(INDIRECT("'" &amp; B163 &amp; "'.$A$1:$Z$1000"), 0, MATCH("total_assembly_time_min", INDIRECT("'" &amp; B163 &amp; "'.$A$1:$Z$1"), 0)))/60, "")</f>
        <v/>
      </c>
      <c r="G163" s="33" t="str">
        <f aca="false">IF(C163&lt;&gt;"", values!$B$2, "")</f>
        <v/>
      </c>
      <c r="H163" s="33" t="str">
        <f aca="false">IF(C163&lt;&gt;"", F163*G163, "")</f>
        <v/>
      </c>
      <c r="I163" s="33" t="str">
        <f aca="false">IF(C163&lt;&gt;"", H163+E163, "")</f>
        <v/>
      </c>
      <c r="K163" s="33" t="str">
        <f aca="false">IF(C163&lt;&gt;"", L163-I163, "")</f>
        <v/>
      </c>
      <c r="L163" s="33" t="str">
        <f aca="false">IF(C163&lt;&gt;"", I163/(1-J163), "")</f>
        <v/>
      </c>
      <c r="M163" s="33" t="str">
        <f aca="false">IF(C163&lt;&gt;"", values!$A$2, "")</f>
        <v/>
      </c>
      <c r="N163" s="33" t="str">
        <f aca="false">IF(C163&lt;&gt;"", O163-L163, "")</f>
        <v/>
      </c>
      <c r="O163" s="33" t="str">
        <f aca="false">IF(C163&lt;&gt;"", L163/(1-M163), "")</f>
        <v/>
      </c>
    </row>
    <row r="164" customFormat="false" ht="12.8" hidden="false" customHeight="false" outlineLevel="0" collapsed="false">
      <c r="A164" s="1" t="s">
        <v>1282</v>
      </c>
      <c r="B164" s="31" t="s">
        <v>1283</v>
      </c>
      <c r="D164" s="32" t="str">
        <f aca="true">IF(C164&lt;&gt;"", SUM(INDEX(INDIRECT("'" &amp; B164 &amp; "'.$A$1:$Z$1000"), 0, MATCH("count", INDIRECT("'" &amp; B164 &amp; "'.$A$1:$Z$1"), 0))), "")</f>
        <v/>
      </c>
      <c r="E164" s="33" t="str">
        <f aca="true">IF(C164&lt;&gt;"", SUM(INDEX(INDIRECT("'" &amp; B164 &amp; "'.$A$1:$Z$1000"), 0, MATCH("cost", INDIRECT("'" &amp; B164 &amp; "'.$A$1:$Z$1"), 0))), "")</f>
        <v/>
      </c>
      <c r="F164" s="40" t="str">
        <f aca="true">IF(C164&lt;&gt;"", SUM(INDEX(INDIRECT("'" &amp; B164 &amp; "'.$A$1:$Z$1000"), 0, MATCH("total_assembly_time_min", INDIRECT("'" &amp; B164 &amp; "'.$A$1:$Z$1"), 0)))/60, "")</f>
        <v/>
      </c>
      <c r="G164" s="33" t="str">
        <f aca="false">IF(C164&lt;&gt;"", values!$B$2, "")</f>
        <v/>
      </c>
      <c r="H164" s="33" t="str">
        <f aca="false">IF(C164&lt;&gt;"", F164*G164, "")</f>
        <v/>
      </c>
      <c r="I164" s="33" t="str">
        <f aca="false">IF(C164&lt;&gt;"", H164+E164, "")</f>
        <v/>
      </c>
      <c r="K164" s="33" t="str">
        <f aca="false">IF(C164&lt;&gt;"", L164-I164, "")</f>
        <v/>
      </c>
      <c r="L164" s="33" t="str">
        <f aca="false">IF(C164&lt;&gt;"", I164/(1-J164), "")</f>
        <v/>
      </c>
      <c r="M164" s="33" t="str">
        <f aca="false">IF(C164&lt;&gt;"", values!$A$2, "")</f>
        <v/>
      </c>
      <c r="N164" s="33" t="str">
        <f aca="false">IF(C164&lt;&gt;"", O164-L164, "")</f>
        <v/>
      </c>
      <c r="O164" s="33" t="str">
        <f aca="false">IF(C164&lt;&gt;"", L164/(1-M164), "")</f>
        <v/>
      </c>
    </row>
    <row r="165" customFormat="false" ht="12.8" hidden="false" customHeight="false" outlineLevel="0" collapsed="false">
      <c r="A165" s="1" t="s">
        <v>1284</v>
      </c>
      <c r="B165" s="31" t="s">
        <v>1285</v>
      </c>
      <c r="D165" s="32" t="str">
        <f aca="true">IF(C165&lt;&gt;"", SUM(INDEX(INDIRECT("'" &amp; B165 &amp; "'.$A$1:$Z$1000"), 0, MATCH("count", INDIRECT("'" &amp; B165 &amp; "'.$A$1:$Z$1"), 0))), "")</f>
        <v/>
      </c>
      <c r="E165" s="33" t="str">
        <f aca="true">IF(C165&lt;&gt;"", SUM(INDEX(INDIRECT("'" &amp; B165 &amp; "'.$A$1:$Z$1000"), 0, MATCH("cost", INDIRECT("'" &amp; B165 &amp; "'.$A$1:$Z$1"), 0))), "")</f>
        <v/>
      </c>
      <c r="F165" s="40" t="str">
        <f aca="true">IF(C165&lt;&gt;"", SUM(INDEX(INDIRECT("'" &amp; B165 &amp; "'.$A$1:$Z$1000"), 0, MATCH("total_assembly_time_min", INDIRECT("'" &amp; B165 &amp; "'.$A$1:$Z$1"), 0)))/60, "")</f>
        <v/>
      </c>
      <c r="G165" s="33" t="str">
        <f aca="false">IF(C165&lt;&gt;"", values!$B$2, "")</f>
        <v/>
      </c>
      <c r="H165" s="33" t="str">
        <f aca="false">IF(C165&lt;&gt;"", F165*G165, "")</f>
        <v/>
      </c>
      <c r="I165" s="33" t="str">
        <f aca="false">IF(C165&lt;&gt;"", H165+E165, "")</f>
        <v/>
      </c>
      <c r="K165" s="33" t="str">
        <f aca="false">IF(C165&lt;&gt;"", L165-I165, "")</f>
        <v/>
      </c>
      <c r="L165" s="33" t="str">
        <f aca="false">IF(C165&lt;&gt;"", I165/(1-J165), "")</f>
        <v/>
      </c>
      <c r="M165" s="33" t="str">
        <f aca="false">IF(C165&lt;&gt;"", values!$A$2, "")</f>
        <v/>
      </c>
      <c r="N165" s="33" t="str">
        <f aca="false">IF(C165&lt;&gt;"", O165-L165, "")</f>
        <v/>
      </c>
      <c r="O165" s="33" t="str">
        <f aca="false">IF(C165&lt;&gt;"", L165/(1-M165), "")</f>
        <v/>
      </c>
    </row>
    <row r="166" customFormat="false" ht="12.8" hidden="false" customHeight="false" outlineLevel="0" collapsed="false">
      <c r="A166" s="1" t="s">
        <v>1286</v>
      </c>
      <c r="B166" s="31" t="s">
        <v>1287</v>
      </c>
      <c r="D166" s="32" t="str">
        <f aca="true">IF(C166&lt;&gt;"", SUM(INDEX(INDIRECT("'" &amp; B166 &amp; "'.$A$1:$Z$1000"), 0, MATCH("count", INDIRECT("'" &amp; B166 &amp; "'.$A$1:$Z$1"), 0))), "")</f>
        <v/>
      </c>
      <c r="E166" s="33" t="str">
        <f aca="true">IF(C166&lt;&gt;"", SUM(INDEX(INDIRECT("'" &amp; B166 &amp; "'.$A$1:$Z$1000"), 0, MATCH("cost", INDIRECT("'" &amp; B166 &amp; "'.$A$1:$Z$1"), 0))), "")</f>
        <v/>
      </c>
      <c r="F166" s="40" t="str">
        <f aca="true">IF(C166&lt;&gt;"", SUM(INDEX(INDIRECT("'" &amp; B166 &amp; "'.$A$1:$Z$1000"), 0, MATCH("total_assembly_time_min", INDIRECT("'" &amp; B166 &amp; "'.$A$1:$Z$1"), 0)))/60, "")</f>
        <v/>
      </c>
      <c r="G166" s="33" t="str">
        <f aca="false">IF(C166&lt;&gt;"", values!$B$2, "")</f>
        <v/>
      </c>
      <c r="H166" s="33" t="str">
        <f aca="false">IF(C166&lt;&gt;"", F166*G166, "")</f>
        <v/>
      </c>
      <c r="I166" s="33" t="str">
        <f aca="false">IF(C166&lt;&gt;"", H166+E166, "")</f>
        <v/>
      </c>
      <c r="K166" s="33" t="str">
        <f aca="false">IF(C166&lt;&gt;"", L166-I166, "")</f>
        <v/>
      </c>
      <c r="L166" s="33" t="str">
        <f aca="false">IF(C166&lt;&gt;"", I166/(1-J166), "")</f>
        <v/>
      </c>
      <c r="M166" s="33" t="str">
        <f aca="false">IF(C166&lt;&gt;"", values!$A$2, "")</f>
        <v/>
      </c>
      <c r="N166" s="33" t="str">
        <f aca="false">IF(C166&lt;&gt;"", O166-L166, "")</f>
        <v/>
      </c>
      <c r="O166" s="33" t="str">
        <f aca="false">IF(C166&lt;&gt;"", L166/(1-M166), "")</f>
        <v/>
      </c>
    </row>
    <row r="167" customFormat="false" ht="12.8" hidden="false" customHeight="false" outlineLevel="0" collapsed="false">
      <c r="A167" s="1" t="s">
        <v>1288</v>
      </c>
      <c r="B167" s="31" t="s">
        <v>1289</v>
      </c>
      <c r="D167" s="32" t="str">
        <f aca="true">IF(C167&lt;&gt;"", SUM(INDEX(INDIRECT("'" &amp; B167 &amp; "'.$A$1:$Z$1000"), 0, MATCH("count", INDIRECT("'" &amp; B167 &amp; "'.$A$1:$Z$1"), 0))), "")</f>
        <v/>
      </c>
      <c r="E167" s="33" t="str">
        <f aca="true">IF(C167&lt;&gt;"", SUM(INDEX(INDIRECT("'" &amp; B167 &amp; "'.$A$1:$Z$1000"), 0, MATCH("cost", INDIRECT("'" &amp; B167 &amp; "'.$A$1:$Z$1"), 0))), "")</f>
        <v/>
      </c>
      <c r="F167" s="40" t="str">
        <f aca="true">IF(C167&lt;&gt;"", SUM(INDEX(INDIRECT("'" &amp; B167 &amp; "'.$A$1:$Z$1000"), 0, MATCH("total_assembly_time_min", INDIRECT("'" &amp; B167 &amp; "'.$A$1:$Z$1"), 0)))/60, "")</f>
        <v/>
      </c>
      <c r="G167" s="33" t="str">
        <f aca="false">IF(C167&lt;&gt;"", values!$B$2, "")</f>
        <v/>
      </c>
      <c r="H167" s="33" t="str">
        <f aca="false">IF(C167&lt;&gt;"", F167*G167, "")</f>
        <v/>
      </c>
      <c r="I167" s="33" t="str">
        <f aca="false">IF(C167&lt;&gt;"", H167+E167, "")</f>
        <v/>
      </c>
      <c r="K167" s="33" t="str">
        <f aca="false">IF(C167&lt;&gt;"", L167-I167, "")</f>
        <v/>
      </c>
      <c r="L167" s="33" t="str">
        <f aca="false">IF(C167&lt;&gt;"", I167/(1-J167), "")</f>
        <v/>
      </c>
      <c r="M167" s="33" t="str">
        <f aca="false">IF(C167&lt;&gt;"", values!$A$2, "")</f>
        <v/>
      </c>
      <c r="N167" s="33" t="str">
        <f aca="false">IF(C167&lt;&gt;"", O167-L167, "")</f>
        <v/>
      </c>
      <c r="O167" s="33" t="str">
        <f aca="false">IF(C167&lt;&gt;"", L167/(1-M167), "")</f>
        <v/>
      </c>
    </row>
    <row r="168" customFormat="false" ht="12.8" hidden="false" customHeight="false" outlineLevel="0" collapsed="false">
      <c r="A168" s="1" t="s">
        <v>1290</v>
      </c>
      <c r="B168" s="31" t="s">
        <v>1291</v>
      </c>
      <c r="D168" s="32" t="str">
        <f aca="true">IF(C168&lt;&gt;"", SUM(INDEX(INDIRECT("'" &amp; B168 &amp; "'.$A$1:$Z$1000"), 0, MATCH("count", INDIRECT("'" &amp; B168 &amp; "'.$A$1:$Z$1"), 0))), "")</f>
        <v/>
      </c>
      <c r="E168" s="33" t="str">
        <f aca="true">IF(C168&lt;&gt;"", SUM(INDEX(INDIRECT("'" &amp; B168 &amp; "'.$A$1:$Z$1000"), 0, MATCH("cost", INDIRECT("'" &amp; B168 &amp; "'.$A$1:$Z$1"), 0))), "")</f>
        <v/>
      </c>
      <c r="F168" s="40" t="str">
        <f aca="true">IF(C168&lt;&gt;"", SUM(INDEX(INDIRECT("'" &amp; B168 &amp; "'.$A$1:$Z$1000"), 0, MATCH("total_assembly_time_min", INDIRECT("'" &amp; B168 &amp; "'.$A$1:$Z$1"), 0)))/60, "")</f>
        <v/>
      </c>
      <c r="G168" s="33" t="str">
        <f aca="false">IF(C168&lt;&gt;"", values!$B$2, "")</f>
        <v/>
      </c>
      <c r="H168" s="33" t="str">
        <f aca="false">IF(C168&lt;&gt;"", F168*G168, "")</f>
        <v/>
      </c>
      <c r="I168" s="33" t="str">
        <f aca="false">IF(C168&lt;&gt;"", H168+E168, "")</f>
        <v/>
      </c>
      <c r="K168" s="33" t="str">
        <f aca="false">IF(C168&lt;&gt;"", L168-I168, "")</f>
        <v/>
      </c>
      <c r="L168" s="33" t="str">
        <f aca="false">IF(C168&lt;&gt;"", I168/(1-J168), "")</f>
        <v/>
      </c>
      <c r="M168" s="33" t="str">
        <f aca="false">IF(C168&lt;&gt;"", values!$A$2, "")</f>
        <v/>
      </c>
      <c r="N168" s="33" t="str">
        <f aca="false">IF(C168&lt;&gt;"", O168-L168, "")</f>
        <v/>
      </c>
      <c r="O168" s="33" t="str">
        <f aca="false">IF(C168&lt;&gt;"", L168/(1-M168), "")</f>
        <v/>
      </c>
    </row>
    <row r="169" customFormat="false" ht="12.8" hidden="false" customHeight="false" outlineLevel="0" collapsed="false">
      <c r="A169" s="1" t="s">
        <v>1292</v>
      </c>
      <c r="B169" s="31" t="s">
        <v>1293</v>
      </c>
      <c r="D169" s="32" t="str">
        <f aca="true">IF(C169&lt;&gt;"", SUM(INDEX(INDIRECT("'" &amp; B169 &amp; "'.$A$1:$Z$1000"), 0, MATCH("count", INDIRECT("'" &amp; B169 &amp; "'.$A$1:$Z$1"), 0))), "")</f>
        <v/>
      </c>
      <c r="E169" s="33" t="str">
        <f aca="true">IF(C169&lt;&gt;"", SUM(INDEX(INDIRECT("'" &amp; B169 &amp; "'.$A$1:$Z$1000"), 0, MATCH("cost", INDIRECT("'" &amp; B169 &amp; "'.$A$1:$Z$1"), 0))), "")</f>
        <v/>
      </c>
      <c r="F169" s="40" t="str">
        <f aca="true">IF(C169&lt;&gt;"", SUM(INDEX(INDIRECT("'" &amp; B169 &amp; "'.$A$1:$Z$1000"), 0, MATCH("total_assembly_time_min", INDIRECT("'" &amp; B169 &amp; "'.$A$1:$Z$1"), 0)))/60, "")</f>
        <v/>
      </c>
      <c r="G169" s="33" t="str">
        <f aca="false">IF(C169&lt;&gt;"", values!$B$2, "")</f>
        <v/>
      </c>
      <c r="H169" s="33" t="str">
        <f aca="false">IF(C169&lt;&gt;"", F169*G169, "")</f>
        <v/>
      </c>
      <c r="I169" s="33" t="str">
        <f aca="false">IF(C169&lt;&gt;"", H169+E169, "")</f>
        <v/>
      </c>
      <c r="K169" s="33" t="str">
        <f aca="false">IF(C169&lt;&gt;"", L169-I169, "")</f>
        <v/>
      </c>
      <c r="L169" s="33" t="str">
        <f aca="false">IF(C169&lt;&gt;"", I169/(1-J169), "")</f>
        <v/>
      </c>
      <c r="M169" s="33" t="str">
        <f aca="false">IF(C169&lt;&gt;"", values!$A$2, "")</f>
        <v/>
      </c>
      <c r="N169" s="33" t="str">
        <f aca="false">IF(C169&lt;&gt;"", O169-L169, "")</f>
        <v/>
      </c>
      <c r="O169" s="33" t="str">
        <f aca="false">IF(C169&lt;&gt;"", L169/(1-M169), "")</f>
        <v/>
      </c>
    </row>
    <row r="170" customFormat="false" ht="12.8" hidden="false" customHeight="false" outlineLevel="0" collapsed="false">
      <c r="A170" s="1" t="s">
        <v>1294</v>
      </c>
      <c r="B170" s="31" t="s">
        <v>1295</v>
      </c>
      <c r="D170" s="32" t="str">
        <f aca="true">IF(C170&lt;&gt;"", SUM(INDEX(INDIRECT("'" &amp; B170 &amp; "'.$A$1:$Z$1000"), 0, MATCH("count", INDIRECT("'" &amp; B170 &amp; "'.$A$1:$Z$1"), 0))), "")</f>
        <v/>
      </c>
      <c r="E170" s="33" t="str">
        <f aca="true">IF(C170&lt;&gt;"", SUM(INDEX(INDIRECT("'" &amp; B170 &amp; "'.$A$1:$Z$1000"), 0, MATCH("cost", INDIRECT("'" &amp; B170 &amp; "'.$A$1:$Z$1"), 0))), "")</f>
        <v/>
      </c>
      <c r="F170" s="40" t="str">
        <f aca="true">IF(C170&lt;&gt;"", SUM(INDEX(INDIRECT("'" &amp; B170 &amp; "'.$A$1:$Z$1000"), 0, MATCH("total_assembly_time_min", INDIRECT("'" &amp; B170 &amp; "'.$A$1:$Z$1"), 0)))/60, "")</f>
        <v/>
      </c>
      <c r="G170" s="33" t="str">
        <f aca="false">IF(C170&lt;&gt;"", values!$B$2, "")</f>
        <v/>
      </c>
      <c r="H170" s="33" t="str">
        <f aca="false">IF(C170&lt;&gt;"", F170*G170, "")</f>
        <v/>
      </c>
      <c r="I170" s="33" t="str">
        <f aca="false">IF(C170&lt;&gt;"", H170+E170, "")</f>
        <v/>
      </c>
      <c r="K170" s="33" t="str">
        <f aca="false">IF(C170&lt;&gt;"", L170-I170, "")</f>
        <v/>
      </c>
      <c r="L170" s="33" t="str">
        <f aca="false">IF(C170&lt;&gt;"", I170/(1-J170), "")</f>
        <v/>
      </c>
      <c r="M170" s="33" t="str">
        <f aca="false">IF(C170&lt;&gt;"", values!$A$2, "")</f>
        <v/>
      </c>
      <c r="N170" s="33" t="str">
        <f aca="false">IF(C170&lt;&gt;"", O170-L170, "")</f>
        <v/>
      </c>
      <c r="O170" s="33" t="str">
        <f aca="false">IF(C170&lt;&gt;"", L170/(1-M170), "")</f>
        <v/>
      </c>
    </row>
    <row r="171" customFormat="false" ht="12.8" hidden="false" customHeight="false" outlineLevel="0" collapsed="false">
      <c r="A171" s="1" t="s">
        <v>1296</v>
      </c>
      <c r="B171" s="31" t="s">
        <v>1297</v>
      </c>
      <c r="D171" s="32" t="str">
        <f aca="true">IF(C171&lt;&gt;"", SUM(INDEX(INDIRECT("'" &amp; B171 &amp; "'.$A$1:$Z$1000"), 0, MATCH("count", INDIRECT("'" &amp; B171 &amp; "'.$A$1:$Z$1"), 0))), "")</f>
        <v/>
      </c>
      <c r="E171" s="33" t="str">
        <f aca="true">IF(C171&lt;&gt;"", SUM(INDEX(INDIRECT("'" &amp; B171 &amp; "'.$A$1:$Z$1000"), 0, MATCH("cost", INDIRECT("'" &amp; B171 &amp; "'.$A$1:$Z$1"), 0))), "")</f>
        <v/>
      </c>
      <c r="F171" s="40" t="str">
        <f aca="true">IF(C171&lt;&gt;"", SUM(INDEX(INDIRECT("'" &amp; B171 &amp; "'.$A$1:$Z$1000"), 0, MATCH("total_assembly_time_min", INDIRECT("'" &amp; B171 &amp; "'.$A$1:$Z$1"), 0)))/60, "")</f>
        <v/>
      </c>
      <c r="G171" s="33" t="str">
        <f aca="false">IF(C171&lt;&gt;"", values!$B$2, "")</f>
        <v/>
      </c>
      <c r="H171" s="33" t="str">
        <f aca="false">IF(C171&lt;&gt;"", F171*G171, "")</f>
        <v/>
      </c>
      <c r="I171" s="33" t="str">
        <f aca="false">IF(C171&lt;&gt;"", H171+E171, "")</f>
        <v/>
      </c>
      <c r="K171" s="33" t="str">
        <f aca="false">IF(C171&lt;&gt;"", L171-I171, "")</f>
        <v/>
      </c>
      <c r="L171" s="33" t="str">
        <f aca="false">IF(C171&lt;&gt;"", I171/(1-J171), "")</f>
        <v/>
      </c>
      <c r="M171" s="33" t="str">
        <f aca="false">IF(C171&lt;&gt;"", values!$A$2, "")</f>
        <v/>
      </c>
      <c r="N171" s="33" t="str">
        <f aca="false">IF(C171&lt;&gt;"", O171-L171, "")</f>
        <v/>
      </c>
      <c r="O171" s="33" t="str">
        <f aca="false">IF(C171&lt;&gt;"", L171/(1-M171), "")</f>
        <v/>
      </c>
    </row>
    <row r="172" customFormat="false" ht="12.8" hidden="false" customHeight="false" outlineLevel="0" collapsed="false">
      <c r="A172" s="1" t="s">
        <v>1298</v>
      </c>
      <c r="B172" s="31" t="s">
        <v>1299</v>
      </c>
      <c r="D172" s="32" t="str">
        <f aca="true">IF(C172&lt;&gt;"", SUM(INDEX(INDIRECT("'" &amp; B172 &amp; "'.$A$1:$Z$1000"), 0, MATCH("count", INDIRECT("'" &amp; B172 &amp; "'.$A$1:$Z$1"), 0))), "")</f>
        <v/>
      </c>
      <c r="E172" s="33" t="str">
        <f aca="true">IF(C172&lt;&gt;"", SUM(INDEX(INDIRECT("'" &amp; B172 &amp; "'.$A$1:$Z$1000"), 0, MATCH("cost", INDIRECT("'" &amp; B172 &amp; "'.$A$1:$Z$1"), 0))), "")</f>
        <v/>
      </c>
      <c r="F172" s="40" t="str">
        <f aca="true">IF(C172&lt;&gt;"", SUM(INDEX(INDIRECT("'" &amp; B172 &amp; "'.$A$1:$Z$1000"), 0, MATCH("total_assembly_time_min", INDIRECT("'" &amp; B172 &amp; "'.$A$1:$Z$1"), 0)))/60, "")</f>
        <v/>
      </c>
      <c r="G172" s="33" t="str">
        <f aca="false">IF(C172&lt;&gt;"", values!$B$2, "")</f>
        <v/>
      </c>
      <c r="H172" s="33" t="str">
        <f aca="false">IF(C172&lt;&gt;"", F172*G172, "")</f>
        <v/>
      </c>
      <c r="I172" s="33" t="str">
        <f aca="false">IF(C172&lt;&gt;"", H172+E172, "")</f>
        <v/>
      </c>
      <c r="K172" s="33" t="str">
        <f aca="false">IF(C172&lt;&gt;"", L172-I172, "")</f>
        <v/>
      </c>
      <c r="L172" s="33" t="str">
        <f aca="false">IF(C172&lt;&gt;"", I172/(1-J172), "")</f>
        <v/>
      </c>
      <c r="M172" s="33" t="str">
        <f aca="false">IF(C172&lt;&gt;"", values!$A$2, "")</f>
        <v/>
      </c>
      <c r="N172" s="33" t="str">
        <f aca="false">IF(C172&lt;&gt;"", O172-L172, "")</f>
        <v/>
      </c>
      <c r="O172" s="33" t="str">
        <f aca="false">IF(C172&lt;&gt;"", L172/(1-M172), "")</f>
        <v/>
      </c>
    </row>
    <row r="173" customFormat="false" ht="12.8" hidden="false" customHeight="false" outlineLevel="0" collapsed="false">
      <c r="A173" s="1" t="s">
        <v>1300</v>
      </c>
      <c r="B173" s="31" t="s">
        <v>1301</v>
      </c>
      <c r="D173" s="32" t="str">
        <f aca="true">IF(C173&lt;&gt;"", SUM(INDEX(INDIRECT("'" &amp; B173 &amp; "'.$A$1:$Z$1000"), 0, MATCH("count", INDIRECT("'" &amp; B173 &amp; "'.$A$1:$Z$1"), 0))), "")</f>
        <v/>
      </c>
      <c r="E173" s="33" t="str">
        <f aca="true">IF(C173&lt;&gt;"", SUM(INDEX(INDIRECT("'" &amp; B173 &amp; "'.$A$1:$Z$1000"), 0, MATCH("cost", INDIRECT("'" &amp; B173 &amp; "'.$A$1:$Z$1"), 0))), "")</f>
        <v/>
      </c>
      <c r="F173" s="40" t="str">
        <f aca="true">IF(C173&lt;&gt;"", SUM(INDEX(INDIRECT("'" &amp; B173 &amp; "'.$A$1:$Z$1000"), 0, MATCH("total_assembly_time_min", INDIRECT("'" &amp; B173 &amp; "'.$A$1:$Z$1"), 0)))/60, "")</f>
        <v/>
      </c>
      <c r="G173" s="33" t="str">
        <f aca="false">IF(C173&lt;&gt;"", values!$B$2, "")</f>
        <v/>
      </c>
      <c r="H173" s="33" t="str">
        <f aca="false">IF(C173&lt;&gt;"", F173*G173, "")</f>
        <v/>
      </c>
      <c r="I173" s="33" t="str">
        <f aca="false">IF(C173&lt;&gt;"", H173+E173, "")</f>
        <v/>
      </c>
      <c r="K173" s="33" t="str">
        <f aca="false">IF(C173&lt;&gt;"", L173-I173, "")</f>
        <v/>
      </c>
      <c r="L173" s="33" t="str">
        <f aca="false">IF(C173&lt;&gt;"", I173/(1-J173), "")</f>
        <v/>
      </c>
      <c r="M173" s="33" t="str">
        <f aca="false">IF(C173&lt;&gt;"", values!$A$2, "")</f>
        <v/>
      </c>
      <c r="N173" s="33" t="str">
        <f aca="false">IF(C173&lt;&gt;"", O173-L173, "")</f>
        <v/>
      </c>
      <c r="O173" s="33" t="str">
        <f aca="false">IF(C173&lt;&gt;"", L173/(1-M173), "")</f>
        <v/>
      </c>
    </row>
    <row r="174" customFormat="false" ht="12.8" hidden="false" customHeight="false" outlineLevel="0" collapsed="false">
      <c r="A174" s="1" t="s">
        <v>1302</v>
      </c>
      <c r="B174" s="31" t="s">
        <v>1303</v>
      </c>
      <c r="D174" s="32" t="str">
        <f aca="true">IF(C174&lt;&gt;"", SUM(INDEX(INDIRECT("'" &amp; B174 &amp; "'.$A$1:$Z$1000"), 0, MATCH("count", INDIRECT("'" &amp; B174 &amp; "'.$A$1:$Z$1"), 0))), "")</f>
        <v/>
      </c>
      <c r="E174" s="33" t="str">
        <f aca="true">IF(C174&lt;&gt;"", SUM(INDEX(INDIRECT("'" &amp; B174 &amp; "'.$A$1:$Z$1000"), 0, MATCH("cost", INDIRECT("'" &amp; B174 &amp; "'.$A$1:$Z$1"), 0))), "")</f>
        <v/>
      </c>
      <c r="F174" s="40" t="str">
        <f aca="true">IF(C174&lt;&gt;"", SUM(INDEX(INDIRECT("'" &amp; B174 &amp; "'.$A$1:$Z$1000"), 0, MATCH("total_assembly_time_min", INDIRECT("'" &amp; B174 &amp; "'.$A$1:$Z$1"), 0)))/60, "")</f>
        <v/>
      </c>
      <c r="G174" s="33" t="str">
        <f aca="false">IF(C174&lt;&gt;"", values!$B$2, "")</f>
        <v/>
      </c>
      <c r="H174" s="33" t="str">
        <f aca="false">IF(C174&lt;&gt;"", F174*G174, "")</f>
        <v/>
      </c>
      <c r="I174" s="33" t="str">
        <f aca="false">IF(C174&lt;&gt;"", H174+E174, "")</f>
        <v/>
      </c>
      <c r="K174" s="33" t="str">
        <f aca="false">IF(C174&lt;&gt;"", L174-I174, "")</f>
        <v/>
      </c>
      <c r="L174" s="33" t="str">
        <f aca="false">IF(C174&lt;&gt;"", I174/(1-J174), "")</f>
        <v/>
      </c>
      <c r="M174" s="33" t="str">
        <f aca="false">IF(C174&lt;&gt;"", values!$A$2, "")</f>
        <v/>
      </c>
      <c r="N174" s="33" t="str">
        <f aca="false">IF(C174&lt;&gt;"", O174-L174, "")</f>
        <v/>
      </c>
      <c r="O174" s="33" t="str">
        <f aca="false">IF(C174&lt;&gt;"", L174/(1-M174), "")</f>
        <v/>
      </c>
    </row>
    <row r="175" customFormat="false" ht="12.8" hidden="false" customHeight="false" outlineLevel="0" collapsed="false">
      <c r="A175" s="1" t="s">
        <v>1304</v>
      </c>
      <c r="B175" s="31" t="s">
        <v>1305</v>
      </c>
      <c r="D175" s="32" t="str">
        <f aca="true">IF(C175&lt;&gt;"", SUM(INDEX(INDIRECT("'" &amp; B175 &amp; "'.$A$1:$Z$1000"), 0, MATCH("count", INDIRECT("'" &amp; B175 &amp; "'.$A$1:$Z$1"), 0))), "")</f>
        <v/>
      </c>
      <c r="E175" s="33" t="str">
        <f aca="true">IF(C175&lt;&gt;"", SUM(INDEX(INDIRECT("'" &amp; B175 &amp; "'.$A$1:$Z$1000"), 0, MATCH("cost", INDIRECT("'" &amp; B175 &amp; "'.$A$1:$Z$1"), 0))), "")</f>
        <v/>
      </c>
      <c r="F175" s="40" t="str">
        <f aca="true">IF(C175&lt;&gt;"", SUM(INDEX(INDIRECT("'" &amp; B175 &amp; "'.$A$1:$Z$1000"), 0, MATCH("total_assembly_time_min", INDIRECT("'" &amp; B175 &amp; "'.$A$1:$Z$1"), 0)))/60, "")</f>
        <v/>
      </c>
      <c r="G175" s="33" t="str">
        <f aca="false">IF(C175&lt;&gt;"", values!$B$2, "")</f>
        <v/>
      </c>
      <c r="H175" s="33" t="str">
        <f aca="false">IF(C175&lt;&gt;"", F175*G175, "")</f>
        <v/>
      </c>
      <c r="I175" s="33" t="str">
        <f aca="false">IF(C175&lt;&gt;"", H175+E175, "")</f>
        <v/>
      </c>
      <c r="K175" s="33" t="str">
        <f aca="false">IF(C175&lt;&gt;"", L175-I175, "")</f>
        <v/>
      </c>
      <c r="L175" s="33" t="str">
        <f aca="false">IF(C175&lt;&gt;"", I175/(1-J175), "")</f>
        <v/>
      </c>
      <c r="M175" s="33" t="str">
        <f aca="false">IF(C175&lt;&gt;"", values!$A$2, "")</f>
        <v/>
      </c>
      <c r="N175" s="33" t="str">
        <f aca="false">IF(C175&lt;&gt;"", O175-L175, "")</f>
        <v/>
      </c>
      <c r="O175" s="33" t="str">
        <f aca="false">IF(C175&lt;&gt;"", L175/(1-M175), "")</f>
        <v/>
      </c>
    </row>
    <row r="176" customFormat="false" ht="12.8" hidden="false" customHeight="false" outlineLevel="0" collapsed="false">
      <c r="A176" s="1" t="s">
        <v>1306</v>
      </c>
      <c r="B176" s="31" t="s">
        <v>1307</v>
      </c>
      <c r="D176" s="32" t="str">
        <f aca="true">IF(C176&lt;&gt;"", SUM(INDEX(INDIRECT("'" &amp; B176 &amp; "'.$A$1:$Z$1000"), 0, MATCH("count", INDIRECT("'" &amp; B176 &amp; "'.$A$1:$Z$1"), 0))), "")</f>
        <v/>
      </c>
      <c r="E176" s="33" t="str">
        <f aca="true">IF(C176&lt;&gt;"", SUM(INDEX(INDIRECT("'" &amp; B176 &amp; "'.$A$1:$Z$1000"), 0, MATCH("cost", INDIRECT("'" &amp; B176 &amp; "'.$A$1:$Z$1"), 0))), "")</f>
        <v/>
      </c>
      <c r="F176" s="40" t="str">
        <f aca="true">IF(C176&lt;&gt;"", SUM(INDEX(INDIRECT("'" &amp; B176 &amp; "'.$A$1:$Z$1000"), 0, MATCH("total_assembly_time_min", INDIRECT("'" &amp; B176 &amp; "'.$A$1:$Z$1"), 0)))/60, "")</f>
        <v/>
      </c>
      <c r="G176" s="33" t="str">
        <f aca="false">IF(C176&lt;&gt;"", values!$B$2, "")</f>
        <v/>
      </c>
      <c r="H176" s="33" t="str">
        <f aca="false">IF(C176&lt;&gt;"", F176*G176, "")</f>
        <v/>
      </c>
      <c r="I176" s="33" t="str">
        <f aca="false">IF(C176&lt;&gt;"", H176+E176, "")</f>
        <v/>
      </c>
      <c r="K176" s="33" t="str">
        <f aca="false">IF(C176&lt;&gt;"", L176-I176, "")</f>
        <v/>
      </c>
      <c r="L176" s="33" t="str">
        <f aca="false">IF(C176&lt;&gt;"", I176/(1-J176), "")</f>
        <v/>
      </c>
      <c r="M176" s="33" t="str">
        <f aca="false">IF(C176&lt;&gt;"", values!$A$2, "")</f>
        <v/>
      </c>
      <c r="N176" s="33" t="str">
        <f aca="false">IF(C176&lt;&gt;"", O176-L176, "")</f>
        <v/>
      </c>
      <c r="O176" s="33" t="str">
        <f aca="false">IF(C176&lt;&gt;"", L176/(1-M176), "")</f>
        <v/>
      </c>
    </row>
    <row r="177" customFormat="false" ht="12.8" hidden="false" customHeight="false" outlineLevel="0" collapsed="false">
      <c r="A177" s="1" t="s">
        <v>1308</v>
      </c>
      <c r="B177" s="31" t="s">
        <v>1309</v>
      </c>
      <c r="D177" s="32" t="str">
        <f aca="true">IF(C177&lt;&gt;"", SUM(INDEX(INDIRECT("'" &amp; B177 &amp; "'.$A$1:$Z$1000"), 0, MATCH("count", INDIRECT("'" &amp; B177 &amp; "'.$A$1:$Z$1"), 0))), "")</f>
        <v/>
      </c>
      <c r="E177" s="33" t="str">
        <f aca="true">IF(C177&lt;&gt;"", SUM(INDEX(INDIRECT("'" &amp; B177 &amp; "'.$A$1:$Z$1000"), 0, MATCH("cost", INDIRECT("'" &amp; B177 &amp; "'.$A$1:$Z$1"), 0))), "")</f>
        <v/>
      </c>
      <c r="F177" s="40" t="str">
        <f aca="true">IF(C177&lt;&gt;"", SUM(INDEX(INDIRECT("'" &amp; B177 &amp; "'.$A$1:$Z$1000"), 0, MATCH("total_assembly_time_min", INDIRECT("'" &amp; B177 &amp; "'.$A$1:$Z$1"), 0)))/60, "")</f>
        <v/>
      </c>
      <c r="G177" s="33" t="str">
        <f aca="false">IF(C177&lt;&gt;"", values!$B$2, "")</f>
        <v/>
      </c>
      <c r="H177" s="33" t="str">
        <f aca="false">IF(C177&lt;&gt;"", F177*G177, "")</f>
        <v/>
      </c>
      <c r="I177" s="33" t="str">
        <f aca="false">IF(C177&lt;&gt;"", H177+E177, "")</f>
        <v/>
      </c>
      <c r="K177" s="33" t="str">
        <f aca="false">IF(C177&lt;&gt;"", L177-I177, "")</f>
        <v/>
      </c>
      <c r="L177" s="33" t="str">
        <f aca="false">IF(C177&lt;&gt;"", I177/(1-J177), "")</f>
        <v/>
      </c>
      <c r="M177" s="33" t="str">
        <f aca="false">IF(C177&lt;&gt;"", values!$A$2, "")</f>
        <v/>
      </c>
      <c r="N177" s="33" t="str">
        <f aca="false">IF(C177&lt;&gt;"", O177-L177, "")</f>
        <v/>
      </c>
      <c r="O177" s="33" t="str">
        <f aca="false">IF(C177&lt;&gt;"", L177/(1-M177), "")</f>
        <v/>
      </c>
    </row>
    <row r="178" customFormat="false" ht="12.8" hidden="false" customHeight="false" outlineLevel="0" collapsed="false">
      <c r="A178" s="1" t="s">
        <v>1310</v>
      </c>
      <c r="B178" s="31" t="s">
        <v>1311</v>
      </c>
      <c r="D178" s="32" t="str">
        <f aca="true">IF(C178&lt;&gt;"", SUM(INDEX(INDIRECT("'" &amp; B178 &amp; "'.$A$1:$Z$1000"), 0, MATCH("count", INDIRECT("'" &amp; B178 &amp; "'.$A$1:$Z$1"), 0))), "")</f>
        <v/>
      </c>
      <c r="E178" s="33" t="str">
        <f aca="true">IF(C178&lt;&gt;"", SUM(INDEX(INDIRECT("'" &amp; B178 &amp; "'.$A$1:$Z$1000"), 0, MATCH("cost", INDIRECT("'" &amp; B178 &amp; "'.$A$1:$Z$1"), 0))), "")</f>
        <v/>
      </c>
      <c r="F178" s="40" t="str">
        <f aca="true">IF(C178&lt;&gt;"", SUM(INDEX(INDIRECT("'" &amp; B178 &amp; "'.$A$1:$Z$1000"), 0, MATCH("total_assembly_time_min", INDIRECT("'" &amp; B178 &amp; "'.$A$1:$Z$1"), 0)))/60, "")</f>
        <v/>
      </c>
      <c r="G178" s="33" t="str">
        <f aca="false">IF(C178&lt;&gt;"", values!$B$2, "")</f>
        <v/>
      </c>
      <c r="H178" s="33" t="str">
        <f aca="false">IF(C178&lt;&gt;"", F178*G178, "")</f>
        <v/>
      </c>
      <c r="I178" s="33" t="str">
        <f aca="false">IF(C178&lt;&gt;"", H178+E178, "")</f>
        <v/>
      </c>
      <c r="K178" s="33" t="str">
        <f aca="false">IF(C178&lt;&gt;"", L178-I178, "")</f>
        <v/>
      </c>
      <c r="L178" s="33" t="str">
        <f aca="false">IF(C178&lt;&gt;"", I178/(1-J178), "")</f>
        <v/>
      </c>
      <c r="M178" s="33" t="str">
        <f aca="false">IF(C178&lt;&gt;"", values!$A$2, "")</f>
        <v/>
      </c>
      <c r="N178" s="33" t="str">
        <f aca="false">IF(C178&lt;&gt;"", O178-L178, "")</f>
        <v/>
      </c>
      <c r="O178" s="33" t="str">
        <f aca="false">IF(C178&lt;&gt;"", L178/(1-M178), "")</f>
        <v/>
      </c>
    </row>
    <row r="179" customFormat="false" ht="12.8" hidden="false" customHeight="false" outlineLevel="0" collapsed="false">
      <c r="A179" s="1" t="s">
        <v>1312</v>
      </c>
      <c r="B179" s="31" t="s">
        <v>1313</v>
      </c>
      <c r="D179" s="32" t="str">
        <f aca="true">IF(C179&lt;&gt;"", SUM(INDEX(INDIRECT("'" &amp; B179 &amp; "'.$A$1:$Z$1000"), 0, MATCH("count", INDIRECT("'" &amp; B179 &amp; "'.$A$1:$Z$1"), 0))), "")</f>
        <v/>
      </c>
      <c r="E179" s="33" t="str">
        <f aca="true">IF(C179&lt;&gt;"", SUM(INDEX(INDIRECT("'" &amp; B179 &amp; "'.$A$1:$Z$1000"), 0, MATCH("cost", INDIRECT("'" &amp; B179 &amp; "'.$A$1:$Z$1"), 0))), "")</f>
        <v/>
      </c>
      <c r="F179" s="40" t="str">
        <f aca="true">IF(C179&lt;&gt;"", SUM(INDEX(INDIRECT("'" &amp; B179 &amp; "'.$A$1:$Z$1000"), 0, MATCH("total_assembly_time_min", INDIRECT("'" &amp; B179 &amp; "'.$A$1:$Z$1"), 0)))/60, "")</f>
        <v/>
      </c>
      <c r="G179" s="33" t="str">
        <f aca="false">IF(C179&lt;&gt;"", values!$B$2, "")</f>
        <v/>
      </c>
      <c r="H179" s="33" t="str">
        <f aca="false">IF(C179&lt;&gt;"", F179*G179, "")</f>
        <v/>
      </c>
      <c r="I179" s="33" t="str">
        <f aca="false">IF(C179&lt;&gt;"", H179+E179, "")</f>
        <v/>
      </c>
      <c r="K179" s="33" t="str">
        <f aca="false">IF(C179&lt;&gt;"", L179-I179, "")</f>
        <v/>
      </c>
      <c r="L179" s="33" t="str">
        <f aca="false">IF(C179&lt;&gt;"", I179/(1-J179), "")</f>
        <v/>
      </c>
      <c r="M179" s="33" t="str">
        <f aca="false">IF(C179&lt;&gt;"", values!$A$2, "")</f>
        <v/>
      </c>
      <c r="N179" s="33" t="str">
        <f aca="false">IF(C179&lt;&gt;"", O179-L179, "")</f>
        <v/>
      </c>
      <c r="O179" s="33" t="str">
        <f aca="false">IF(C179&lt;&gt;"", L179/(1-M179), "")</f>
        <v/>
      </c>
    </row>
    <row r="180" customFormat="false" ht="12.8" hidden="false" customHeight="false" outlineLevel="0" collapsed="false">
      <c r="A180" s="1" t="s">
        <v>1314</v>
      </c>
      <c r="B180" s="31" t="s">
        <v>1315</v>
      </c>
      <c r="D180" s="32" t="str">
        <f aca="true">IF(C180&lt;&gt;"", SUM(INDEX(INDIRECT("'" &amp; B180 &amp; "'.$A$1:$Z$1000"), 0, MATCH("count", INDIRECT("'" &amp; B180 &amp; "'.$A$1:$Z$1"), 0))), "")</f>
        <v/>
      </c>
      <c r="E180" s="33" t="str">
        <f aca="true">IF(C180&lt;&gt;"", SUM(INDEX(INDIRECT("'" &amp; B180 &amp; "'.$A$1:$Z$1000"), 0, MATCH("cost", INDIRECT("'" &amp; B180 &amp; "'.$A$1:$Z$1"), 0))), "")</f>
        <v/>
      </c>
      <c r="F180" s="40" t="str">
        <f aca="true">IF(C180&lt;&gt;"", SUM(INDEX(INDIRECT("'" &amp; B180 &amp; "'.$A$1:$Z$1000"), 0, MATCH("total_assembly_time_min", INDIRECT("'" &amp; B180 &amp; "'.$A$1:$Z$1"), 0)))/60, "")</f>
        <v/>
      </c>
      <c r="G180" s="33" t="str">
        <f aca="false">IF(C180&lt;&gt;"", values!$B$2, "")</f>
        <v/>
      </c>
      <c r="H180" s="33" t="str">
        <f aca="false">IF(C180&lt;&gt;"", F180*G180, "")</f>
        <v/>
      </c>
      <c r="I180" s="33" t="str">
        <f aca="false">IF(C180&lt;&gt;"", H180+E180, "")</f>
        <v/>
      </c>
      <c r="K180" s="33" t="str">
        <f aca="false">IF(C180&lt;&gt;"", L180-I180, "")</f>
        <v/>
      </c>
      <c r="L180" s="33" t="str">
        <f aca="false">IF(C180&lt;&gt;"", I180/(1-J180), "")</f>
        <v/>
      </c>
      <c r="M180" s="33" t="str">
        <f aca="false">IF(C180&lt;&gt;"", values!$A$2, "")</f>
        <v/>
      </c>
      <c r="N180" s="33" t="str">
        <f aca="false">IF(C180&lt;&gt;"", O180-L180, "")</f>
        <v/>
      </c>
      <c r="O180" s="33" t="str">
        <f aca="false">IF(C180&lt;&gt;"", L180/(1-M180), "")</f>
        <v/>
      </c>
    </row>
    <row r="181" customFormat="false" ht="12.8" hidden="false" customHeight="false" outlineLevel="0" collapsed="false">
      <c r="A181" s="1" t="s">
        <v>1316</v>
      </c>
      <c r="B181" s="31" t="s">
        <v>1317</v>
      </c>
      <c r="D181" s="32" t="str">
        <f aca="true">IF(C181&lt;&gt;"", SUM(INDEX(INDIRECT("'" &amp; B181 &amp; "'.$A$1:$Z$1000"), 0, MATCH("count", INDIRECT("'" &amp; B181 &amp; "'.$A$1:$Z$1"), 0))), "")</f>
        <v/>
      </c>
      <c r="E181" s="33" t="str">
        <f aca="true">IF(C181&lt;&gt;"", SUM(INDEX(INDIRECT("'" &amp; B181 &amp; "'.$A$1:$Z$1000"), 0, MATCH("cost", INDIRECT("'" &amp; B181 &amp; "'.$A$1:$Z$1"), 0))), "")</f>
        <v/>
      </c>
      <c r="F181" s="40" t="str">
        <f aca="true">IF(C181&lt;&gt;"", SUM(INDEX(INDIRECT("'" &amp; B181 &amp; "'.$A$1:$Z$1000"), 0, MATCH("total_assembly_time_min", INDIRECT("'" &amp; B181 &amp; "'.$A$1:$Z$1"), 0)))/60, "")</f>
        <v/>
      </c>
      <c r="G181" s="33" t="str">
        <f aca="false">IF(C181&lt;&gt;"", values!$B$2, "")</f>
        <v/>
      </c>
      <c r="H181" s="33" t="str">
        <f aca="false">IF(C181&lt;&gt;"", F181*G181, "")</f>
        <v/>
      </c>
      <c r="I181" s="33" t="str">
        <f aca="false">IF(C181&lt;&gt;"", H181+E181, "")</f>
        <v/>
      </c>
      <c r="K181" s="33" t="str">
        <f aca="false">IF(C181&lt;&gt;"", L181-I181, "")</f>
        <v/>
      </c>
      <c r="L181" s="33" t="str">
        <f aca="false">IF(C181&lt;&gt;"", I181/(1-J181), "")</f>
        <v/>
      </c>
      <c r="M181" s="33" t="str">
        <f aca="false">IF(C181&lt;&gt;"", values!$A$2, "")</f>
        <v/>
      </c>
      <c r="N181" s="33" t="str">
        <f aca="false">IF(C181&lt;&gt;"", O181-L181, "")</f>
        <v/>
      </c>
      <c r="O181" s="33" t="str">
        <f aca="false">IF(C181&lt;&gt;"", L181/(1-M181), "")</f>
        <v/>
      </c>
    </row>
    <row r="182" customFormat="false" ht="12.8" hidden="false" customHeight="false" outlineLevel="0" collapsed="false">
      <c r="A182" s="1" t="s">
        <v>1318</v>
      </c>
      <c r="B182" s="31" t="s">
        <v>1319</v>
      </c>
      <c r="D182" s="32" t="str">
        <f aca="true">IF(C182&lt;&gt;"", SUM(INDEX(INDIRECT("'" &amp; B182 &amp; "'.$A$1:$Z$1000"), 0, MATCH("count", INDIRECT("'" &amp; B182 &amp; "'.$A$1:$Z$1"), 0))), "")</f>
        <v/>
      </c>
      <c r="E182" s="33" t="str">
        <f aca="true">IF(C182&lt;&gt;"", SUM(INDEX(INDIRECT("'" &amp; B182 &amp; "'.$A$1:$Z$1000"), 0, MATCH("cost", INDIRECT("'" &amp; B182 &amp; "'.$A$1:$Z$1"), 0))), "")</f>
        <v/>
      </c>
      <c r="F182" s="40" t="str">
        <f aca="true">IF(C182&lt;&gt;"", SUM(INDEX(INDIRECT("'" &amp; B182 &amp; "'.$A$1:$Z$1000"), 0, MATCH("total_assembly_time_min", INDIRECT("'" &amp; B182 &amp; "'.$A$1:$Z$1"), 0)))/60, "")</f>
        <v/>
      </c>
      <c r="G182" s="33" t="str">
        <f aca="false">IF(C182&lt;&gt;"", values!$B$2, "")</f>
        <v/>
      </c>
      <c r="H182" s="33" t="str">
        <f aca="false">IF(C182&lt;&gt;"", F182*G182, "")</f>
        <v/>
      </c>
      <c r="I182" s="33" t="str">
        <f aca="false">IF(C182&lt;&gt;"", H182+E182, "")</f>
        <v/>
      </c>
      <c r="K182" s="33" t="str">
        <f aca="false">IF(C182&lt;&gt;"", L182-I182, "")</f>
        <v/>
      </c>
      <c r="L182" s="33" t="str">
        <f aca="false">IF(C182&lt;&gt;"", I182/(1-J182), "")</f>
        <v/>
      </c>
      <c r="M182" s="33" t="str">
        <f aca="false">IF(C182&lt;&gt;"", values!$A$2, "")</f>
        <v/>
      </c>
      <c r="N182" s="33" t="str">
        <f aca="false">IF(C182&lt;&gt;"", O182-L182, "")</f>
        <v/>
      </c>
      <c r="O182" s="33" t="str">
        <f aca="false">IF(C182&lt;&gt;"", L182/(1-M182), "")</f>
        <v/>
      </c>
    </row>
    <row r="183" customFormat="false" ht="12.8" hidden="false" customHeight="false" outlineLevel="0" collapsed="false">
      <c r="A183" s="1" t="s">
        <v>1320</v>
      </c>
      <c r="B183" s="31" t="s">
        <v>1321</v>
      </c>
      <c r="D183" s="32" t="str">
        <f aca="true">IF(C183&lt;&gt;"", SUM(INDEX(INDIRECT("'" &amp; B183 &amp; "'.$A$1:$Z$1000"), 0, MATCH("count", INDIRECT("'" &amp; B183 &amp; "'.$A$1:$Z$1"), 0))), "")</f>
        <v/>
      </c>
      <c r="E183" s="33" t="str">
        <f aca="true">IF(C183&lt;&gt;"", SUM(INDEX(INDIRECT("'" &amp; B183 &amp; "'.$A$1:$Z$1000"), 0, MATCH("cost", INDIRECT("'" &amp; B183 &amp; "'.$A$1:$Z$1"), 0))), "")</f>
        <v/>
      </c>
      <c r="F183" s="40" t="str">
        <f aca="true">IF(C183&lt;&gt;"", SUM(INDEX(INDIRECT("'" &amp; B183 &amp; "'.$A$1:$Z$1000"), 0, MATCH("total_assembly_time_min", INDIRECT("'" &amp; B183 &amp; "'.$A$1:$Z$1"), 0)))/60, "")</f>
        <v/>
      </c>
      <c r="G183" s="33" t="str">
        <f aca="false">IF(C183&lt;&gt;"", values!$B$2, "")</f>
        <v/>
      </c>
      <c r="H183" s="33" t="str">
        <f aca="false">IF(C183&lt;&gt;"", F183*G183, "")</f>
        <v/>
      </c>
      <c r="I183" s="33" t="str">
        <f aca="false">IF(C183&lt;&gt;"", H183+E183, "")</f>
        <v/>
      </c>
      <c r="K183" s="33" t="str">
        <f aca="false">IF(C183&lt;&gt;"", L183-I183, "")</f>
        <v/>
      </c>
      <c r="L183" s="33" t="str">
        <f aca="false">IF(C183&lt;&gt;"", I183/(1-J183), "")</f>
        <v/>
      </c>
      <c r="M183" s="33" t="str">
        <f aca="false">IF(C183&lt;&gt;"", values!$A$2, "")</f>
        <v/>
      </c>
      <c r="N183" s="33" t="str">
        <f aca="false">IF(C183&lt;&gt;"", O183-L183, "")</f>
        <v/>
      </c>
      <c r="O183" s="33" t="str">
        <f aca="false">IF(C183&lt;&gt;"", L183/(1-M183), "")</f>
        <v/>
      </c>
    </row>
    <row r="184" customFormat="false" ht="12.8" hidden="false" customHeight="false" outlineLevel="0" collapsed="false">
      <c r="A184" s="1" t="s">
        <v>1322</v>
      </c>
      <c r="B184" s="31" t="s">
        <v>1323</v>
      </c>
      <c r="D184" s="32" t="str">
        <f aca="true">IF(C184&lt;&gt;"", SUM(INDEX(INDIRECT("'" &amp; B184 &amp; "'.$A$1:$Z$1000"), 0, MATCH("count", INDIRECT("'" &amp; B184 &amp; "'.$A$1:$Z$1"), 0))), "")</f>
        <v/>
      </c>
      <c r="E184" s="33" t="str">
        <f aca="true">IF(C184&lt;&gt;"", SUM(INDEX(INDIRECT("'" &amp; B184 &amp; "'.$A$1:$Z$1000"), 0, MATCH("cost", INDIRECT("'" &amp; B184 &amp; "'.$A$1:$Z$1"), 0))), "")</f>
        <v/>
      </c>
      <c r="F184" s="40" t="str">
        <f aca="true">IF(C184&lt;&gt;"", SUM(INDEX(INDIRECT("'" &amp; B184 &amp; "'.$A$1:$Z$1000"), 0, MATCH("total_assembly_time_min", INDIRECT("'" &amp; B184 &amp; "'.$A$1:$Z$1"), 0)))/60, "")</f>
        <v/>
      </c>
      <c r="G184" s="33" t="str">
        <f aca="false">IF(C184&lt;&gt;"", values!$B$2, "")</f>
        <v/>
      </c>
      <c r="H184" s="33" t="str">
        <f aca="false">IF(C184&lt;&gt;"", F184*G184, "")</f>
        <v/>
      </c>
      <c r="I184" s="33" t="str">
        <f aca="false">IF(C184&lt;&gt;"", H184+E184, "")</f>
        <v/>
      </c>
      <c r="K184" s="33" t="str">
        <f aca="false">IF(C184&lt;&gt;"", L184-I184, "")</f>
        <v/>
      </c>
      <c r="L184" s="33" t="str">
        <f aca="false">IF(C184&lt;&gt;"", I184/(1-J184), "")</f>
        <v/>
      </c>
      <c r="M184" s="33" t="str">
        <f aca="false">IF(C184&lt;&gt;"", values!$A$2, "")</f>
        <v/>
      </c>
      <c r="N184" s="33" t="str">
        <f aca="false">IF(C184&lt;&gt;"", O184-L184, "")</f>
        <v/>
      </c>
      <c r="O184" s="33" t="str">
        <f aca="false">IF(C184&lt;&gt;"", L184/(1-M184), "")</f>
        <v/>
      </c>
    </row>
    <row r="185" customFormat="false" ht="12.8" hidden="false" customHeight="false" outlineLevel="0" collapsed="false">
      <c r="A185" s="1" t="s">
        <v>1324</v>
      </c>
      <c r="B185" s="31" t="s">
        <v>1325</v>
      </c>
      <c r="D185" s="32" t="str">
        <f aca="true">IF(C185&lt;&gt;"", SUM(INDEX(INDIRECT("'" &amp; B185 &amp; "'.$A$1:$Z$1000"), 0, MATCH("count", INDIRECT("'" &amp; B185 &amp; "'.$A$1:$Z$1"), 0))), "")</f>
        <v/>
      </c>
      <c r="E185" s="33" t="str">
        <f aca="true">IF(C185&lt;&gt;"", SUM(INDEX(INDIRECT("'" &amp; B185 &amp; "'.$A$1:$Z$1000"), 0, MATCH("cost", INDIRECT("'" &amp; B185 &amp; "'.$A$1:$Z$1"), 0))), "")</f>
        <v/>
      </c>
      <c r="F185" s="40" t="str">
        <f aca="true">IF(C185&lt;&gt;"", SUM(INDEX(INDIRECT("'" &amp; B185 &amp; "'.$A$1:$Z$1000"), 0, MATCH("total_assembly_time_min", INDIRECT("'" &amp; B185 &amp; "'.$A$1:$Z$1"), 0)))/60, "")</f>
        <v/>
      </c>
      <c r="G185" s="33" t="str">
        <f aca="false">IF(C185&lt;&gt;"", values!$B$2, "")</f>
        <v/>
      </c>
      <c r="H185" s="33" t="str">
        <f aca="false">IF(C185&lt;&gt;"", F185*G185, "")</f>
        <v/>
      </c>
      <c r="I185" s="33" t="str">
        <f aca="false">IF(C185&lt;&gt;"", H185+E185, "")</f>
        <v/>
      </c>
      <c r="K185" s="33" t="str">
        <f aca="false">IF(C185&lt;&gt;"", L185-I185, "")</f>
        <v/>
      </c>
      <c r="L185" s="33" t="str">
        <f aca="false">IF(C185&lt;&gt;"", I185/(1-J185), "")</f>
        <v/>
      </c>
      <c r="M185" s="33" t="str">
        <f aca="false">IF(C185&lt;&gt;"", values!$A$2, "")</f>
        <v/>
      </c>
      <c r="N185" s="33" t="str">
        <f aca="false">IF(C185&lt;&gt;"", O185-L185, "")</f>
        <v/>
      </c>
      <c r="O185" s="33" t="str">
        <f aca="false">IF(C185&lt;&gt;"", L185/(1-M185), "")</f>
        <v/>
      </c>
    </row>
    <row r="186" customFormat="false" ht="12.8" hidden="false" customHeight="false" outlineLevel="0" collapsed="false">
      <c r="A186" s="1" t="s">
        <v>1326</v>
      </c>
      <c r="B186" s="31" t="s">
        <v>1327</v>
      </c>
      <c r="D186" s="32" t="str">
        <f aca="true">IF(C186&lt;&gt;"", SUM(INDEX(INDIRECT("'" &amp; B186 &amp; "'.$A$1:$Z$1000"), 0, MATCH("count", INDIRECT("'" &amp; B186 &amp; "'.$A$1:$Z$1"), 0))), "")</f>
        <v/>
      </c>
      <c r="E186" s="33" t="str">
        <f aca="true">IF(C186&lt;&gt;"", SUM(INDEX(INDIRECT("'" &amp; B186 &amp; "'.$A$1:$Z$1000"), 0, MATCH("cost", INDIRECT("'" &amp; B186 &amp; "'.$A$1:$Z$1"), 0))), "")</f>
        <v/>
      </c>
      <c r="F186" s="40" t="str">
        <f aca="true">IF(C186&lt;&gt;"", SUM(INDEX(INDIRECT("'" &amp; B186 &amp; "'.$A$1:$Z$1000"), 0, MATCH("total_assembly_time_min", INDIRECT("'" &amp; B186 &amp; "'.$A$1:$Z$1"), 0)))/60, "")</f>
        <v/>
      </c>
      <c r="G186" s="33" t="str">
        <f aca="false">IF(C186&lt;&gt;"", values!$B$2, "")</f>
        <v/>
      </c>
      <c r="H186" s="33" t="str">
        <f aca="false">IF(C186&lt;&gt;"", F186*G186, "")</f>
        <v/>
      </c>
      <c r="I186" s="33" t="str">
        <f aca="false">IF(C186&lt;&gt;"", H186+E186, "")</f>
        <v/>
      </c>
      <c r="K186" s="33" t="str">
        <f aca="false">IF(C186&lt;&gt;"", L186-I186, "")</f>
        <v/>
      </c>
      <c r="L186" s="33" t="str">
        <f aca="false">IF(C186&lt;&gt;"", I186/(1-J186), "")</f>
        <v/>
      </c>
      <c r="M186" s="33" t="str">
        <f aca="false">IF(C186&lt;&gt;"", values!$A$2, "")</f>
        <v/>
      </c>
      <c r="N186" s="33" t="str">
        <f aca="false">IF(C186&lt;&gt;"", O186-L186, "")</f>
        <v/>
      </c>
      <c r="O186" s="33" t="str">
        <f aca="false">IF(C186&lt;&gt;"", L186/(1-M186), "")</f>
        <v/>
      </c>
    </row>
    <row r="187" customFormat="false" ht="12.8" hidden="false" customHeight="false" outlineLevel="0" collapsed="false">
      <c r="A187" s="1" t="s">
        <v>1328</v>
      </c>
      <c r="B187" s="31" t="s">
        <v>1329</v>
      </c>
      <c r="D187" s="32" t="str">
        <f aca="true">IF(C187&lt;&gt;"", SUM(INDEX(INDIRECT("'" &amp; B187 &amp; "'.$A$1:$Z$1000"), 0, MATCH("count", INDIRECT("'" &amp; B187 &amp; "'.$A$1:$Z$1"), 0))), "")</f>
        <v/>
      </c>
      <c r="E187" s="33" t="str">
        <f aca="true">IF(C187&lt;&gt;"", SUM(INDEX(INDIRECT("'" &amp; B187 &amp; "'.$A$1:$Z$1000"), 0, MATCH("cost", INDIRECT("'" &amp; B187 &amp; "'.$A$1:$Z$1"), 0))), "")</f>
        <v/>
      </c>
      <c r="F187" s="40" t="str">
        <f aca="true">IF(C187&lt;&gt;"", SUM(INDEX(INDIRECT("'" &amp; B187 &amp; "'.$A$1:$Z$1000"), 0, MATCH("total_assembly_time_min", INDIRECT("'" &amp; B187 &amp; "'.$A$1:$Z$1"), 0)))/60, "")</f>
        <v/>
      </c>
      <c r="G187" s="33" t="str">
        <f aca="false">IF(C187&lt;&gt;"", values!$B$2, "")</f>
        <v/>
      </c>
      <c r="H187" s="33" t="str">
        <f aca="false">IF(C187&lt;&gt;"", F187*G187, "")</f>
        <v/>
      </c>
      <c r="I187" s="33" t="str">
        <f aca="false">IF(C187&lt;&gt;"", H187+E187, "")</f>
        <v/>
      </c>
      <c r="K187" s="33" t="str">
        <f aca="false">IF(C187&lt;&gt;"", L187-I187, "")</f>
        <v/>
      </c>
      <c r="L187" s="33" t="str">
        <f aca="false">IF(C187&lt;&gt;"", I187/(1-J187), "")</f>
        <v/>
      </c>
      <c r="M187" s="33" t="str">
        <f aca="false">IF(C187&lt;&gt;"", values!$A$2, "")</f>
        <v/>
      </c>
      <c r="N187" s="33" t="str">
        <f aca="false">IF(C187&lt;&gt;"", O187-L187, "")</f>
        <v/>
      </c>
      <c r="O187" s="33" t="str">
        <f aca="false">IF(C187&lt;&gt;"", L187/(1-M187), "")</f>
        <v/>
      </c>
    </row>
    <row r="188" customFormat="false" ht="12.8" hidden="false" customHeight="false" outlineLevel="0" collapsed="false">
      <c r="A188" s="1" t="s">
        <v>1330</v>
      </c>
      <c r="B188" s="31" t="s">
        <v>1331</v>
      </c>
      <c r="D188" s="32" t="str">
        <f aca="true">IF(C188&lt;&gt;"", SUM(INDEX(INDIRECT("'" &amp; B188 &amp; "'.$A$1:$Z$1000"), 0, MATCH("count", INDIRECT("'" &amp; B188 &amp; "'.$A$1:$Z$1"), 0))), "")</f>
        <v/>
      </c>
      <c r="E188" s="33" t="str">
        <f aca="true">IF(C188&lt;&gt;"", SUM(INDEX(INDIRECT("'" &amp; B188 &amp; "'.$A$1:$Z$1000"), 0, MATCH("cost", INDIRECT("'" &amp; B188 &amp; "'.$A$1:$Z$1"), 0))), "")</f>
        <v/>
      </c>
      <c r="F188" s="40" t="str">
        <f aca="true">IF(C188&lt;&gt;"", SUM(INDEX(INDIRECT("'" &amp; B188 &amp; "'.$A$1:$Z$1000"), 0, MATCH("total_assembly_time_min", INDIRECT("'" &amp; B188 &amp; "'.$A$1:$Z$1"), 0)))/60, "")</f>
        <v/>
      </c>
      <c r="G188" s="33" t="str">
        <f aca="false">IF(C188&lt;&gt;"", values!$B$2, "")</f>
        <v/>
      </c>
      <c r="H188" s="33" t="str">
        <f aca="false">IF(C188&lt;&gt;"", F188*G188, "")</f>
        <v/>
      </c>
      <c r="I188" s="33" t="str">
        <f aca="false">IF(C188&lt;&gt;"", H188+E188, "")</f>
        <v/>
      </c>
      <c r="K188" s="33" t="str">
        <f aca="false">IF(C188&lt;&gt;"", L188-I188, "")</f>
        <v/>
      </c>
      <c r="L188" s="33" t="str">
        <f aca="false">IF(C188&lt;&gt;"", I188/(1-J188), "")</f>
        <v/>
      </c>
      <c r="M188" s="33" t="str">
        <f aca="false">IF(C188&lt;&gt;"", values!$A$2, "")</f>
        <v/>
      </c>
      <c r="N188" s="33" t="str">
        <f aca="false">IF(C188&lt;&gt;"", O188-L188, "")</f>
        <v/>
      </c>
      <c r="O188" s="33" t="str">
        <f aca="false">IF(C188&lt;&gt;"", L188/(1-M188), "")</f>
        <v/>
      </c>
    </row>
    <row r="189" customFormat="false" ht="12.8" hidden="false" customHeight="false" outlineLevel="0" collapsed="false">
      <c r="A189" s="1" t="s">
        <v>1332</v>
      </c>
      <c r="B189" s="31" t="s">
        <v>1333</v>
      </c>
      <c r="D189" s="32" t="str">
        <f aca="true">IF(C189&lt;&gt;"", SUM(INDEX(INDIRECT("'" &amp; B189 &amp; "'.$A$1:$Z$1000"), 0, MATCH("count", INDIRECT("'" &amp; B189 &amp; "'.$A$1:$Z$1"), 0))), "")</f>
        <v/>
      </c>
      <c r="E189" s="33" t="str">
        <f aca="true">IF(C189&lt;&gt;"", SUM(INDEX(INDIRECT("'" &amp; B189 &amp; "'.$A$1:$Z$1000"), 0, MATCH("cost", INDIRECT("'" &amp; B189 &amp; "'.$A$1:$Z$1"), 0))), "")</f>
        <v/>
      </c>
      <c r="F189" s="40" t="str">
        <f aca="true">IF(C189&lt;&gt;"", SUM(INDEX(INDIRECT("'" &amp; B189 &amp; "'.$A$1:$Z$1000"), 0, MATCH("total_assembly_time_min", INDIRECT("'" &amp; B189 &amp; "'.$A$1:$Z$1"), 0)))/60, "")</f>
        <v/>
      </c>
      <c r="G189" s="33" t="str">
        <f aca="false">IF(C189&lt;&gt;"", values!$B$2, "")</f>
        <v/>
      </c>
      <c r="H189" s="33" t="str">
        <f aca="false">IF(C189&lt;&gt;"", F189*G189, "")</f>
        <v/>
      </c>
      <c r="I189" s="33" t="str">
        <f aca="false">IF(C189&lt;&gt;"", H189+E189, "")</f>
        <v/>
      </c>
      <c r="K189" s="33" t="str">
        <f aca="false">IF(C189&lt;&gt;"", L189-I189, "")</f>
        <v/>
      </c>
      <c r="L189" s="33" t="str">
        <f aca="false">IF(C189&lt;&gt;"", I189/(1-J189), "")</f>
        <v/>
      </c>
      <c r="M189" s="33" t="str">
        <f aca="false">IF(C189&lt;&gt;"", values!$A$2, "")</f>
        <v/>
      </c>
      <c r="N189" s="33" t="str">
        <f aca="false">IF(C189&lt;&gt;"", O189-L189, "")</f>
        <v/>
      </c>
      <c r="O189" s="33" t="str">
        <f aca="false">IF(C189&lt;&gt;"", L189/(1-M189), "")</f>
        <v/>
      </c>
    </row>
    <row r="190" customFormat="false" ht="12.8" hidden="false" customHeight="false" outlineLevel="0" collapsed="false">
      <c r="A190" s="1" t="s">
        <v>1334</v>
      </c>
      <c r="B190" s="31" t="s">
        <v>1335</v>
      </c>
      <c r="D190" s="32" t="str">
        <f aca="true">IF(C190&lt;&gt;"", SUM(INDEX(INDIRECT("'" &amp; B190 &amp; "'.$A$1:$Z$1000"), 0, MATCH("count", INDIRECT("'" &amp; B190 &amp; "'.$A$1:$Z$1"), 0))), "")</f>
        <v/>
      </c>
      <c r="E190" s="33" t="str">
        <f aca="true">IF(C190&lt;&gt;"", SUM(INDEX(INDIRECT("'" &amp; B190 &amp; "'.$A$1:$Z$1000"), 0, MATCH("cost", INDIRECT("'" &amp; B190 &amp; "'.$A$1:$Z$1"), 0))), "")</f>
        <v/>
      </c>
      <c r="F190" s="40" t="str">
        <f aca="true">IF(C190&lt;&gt;"", SUM(INDEX(INDIRECT("'" &amp; B190 &amp; "'.$A$1:$Z$1000"), 0, MATCH("total_assembly_time_min", INDIRECT("'" &amp; B190 &amp; "'.$A$1:$Z$1"), 0)))/60, "")</f>
        <v/>
      </c>
      <c r="G190" s="33" t="str">
        <f aca="false">IF(C190&lt;&gt;"", values!$B$2, "")</f>
        <v/>
      </c>
      <c r="H190" s="33" t="str">
        <f aca="false">IF(C190&lt;&gt;"", F190*G190, "")</f>
        <v/>
      </c>
      <c r="I190" s="33" t="str">
        <f aca="false">IF(C190&lt;&gt;"", H190+E190, "")</f>
        <v/>
      </c>
      <c r="K190" s="33" t="str">
        <f aca="false">IF(C190&lt;&gt;"", L190-I190, "")</f>
        <v/>
      </c>
      <c r="L190" s="33" t="str">
        <f aca="false">IF(C190&lt;&gt;"", I190/(1-J190), "")</f>
        <v/>
      </c>
      <c r="M190" s="33" t="str">
        <f aca="false">IF(C190&lt;&gt;"", values!$A$2, "")</f>
        <v/>
      </c>
      <c r="N190" s="33" t="str">
        <f aca="false">IF(C190&lt;&gt;"", O190-L190, "")</f>
        <v/>
      </c>
      <c r="O190" s="33" t="str">
        <f aca="false">IF(C190&lt;&gt;"", L190/(1-M190), "")</f>
        <v/>
      </c>
    </row>
    <row r="191" customFormat="false" ht="12.8" hidden="false" customHeight="false" outlineLevel="0" collapsed="false">
      <c r="A191" s="1" t="s">
        <v>1336</v>
      </c>
      <c r="B191" s="31" t="s">
        <v>1337</v>
      </c>
      <c r="D191" s="32" t="str">
        <f aca="true">IF(C191&lt;&gt;"", SUM(INDEX(INDIRECT("'" &amp; B191 &amp; "'.$A$1:$Z$1000"), 0, MATCH("count", INDIRECT("'" &amp; B191 &amp; "'.$A$1:$Z$1"), 0))), "")</f>
        <v/>
      </c>
      <c r="E191" s="33" t="str">
        <f aca="true">IF(C191&lt;&gt;"", SUM(INDEX(INDIRECT("'" &amp; B191 &amp; "'.$A$1:$Z$1000"), 0, MATCH("cost", INDIRECT("'" &amp; B191 &amp; "'.$A$1:$Z$1"), 0))), "")</f>
        <v/>
      </c>
      <c r="F191" s="40" t="str">
        <f aca="true">IF(C191&lt;&gt;"", SUM(INDEX(INDIRECT("'" &amp; B191 &amp; "'.$A$1:$Z$1000"), 0, MATCH("total_assembly_time_min", INDIRECT("'" &amp; B191 &amp; "'.$A$1:$Z$1"), 0)))/60, "")</f>
        <v/>
      </c>
      <c r="G191" s="33" t="str">
        <f aca="false">IF(C191&lt;&gt;"", values!$B$2, "")</f>
        <v/>
      </c>
      <c r="H191" s="33" t="str">
        <f aca="false">IF(C191&lt;&gt;"", F191*G191, "")</f>
        <v/>
      </c>
      <c r="I191" s="33" t="str">
        <f aca="false">IF(C191&lt;&gt;"", H191+E191, "")</f>
        <v/>
      </c>
      <c r="K191" s="33" t="str">
        <f aca="false">IF(C191&lt;&gt;"", L191-I191, "")</f>
        <v/>
      </c>
      <c r="L191" s="33" t="str">
        <f aca="false">IF(C191&lt;&gt;"", I191/(1-J191), "")</f>
        <v/>
      </c>
      <c r="M191" s="33" t="str">
        <f aca="false">IF(C191&lt;&gt;"", values!$A$2, "")</f>
        <v/>
      </c>
      <c r="N191" s="33" t="str">
        <f aca="false">IF(C191&lt;&gt;"", O191-L191, "")</f>
        <v/>
      </c>
      <c r="O191" s="33" t="str">
        <f aca="false">IF(C191&lt;&gt;"", L191/(1-M191), "")</f>
        <v/>
      </c>
    </row>
    <row r="192" customFormat="false" ht="12.8" hidden="false" customHeight="false" outlineLevel="0" collapsed="false">
      <c r="A192" s="1" t="s">
        <v>1338</v>
      </c>
      <c r="B192" s="31" t="s">
        <v>1339</v>
      </c>
      <c r="D192" s="32" t="str">
        <f aca="true">IF(C192&lt;&gt;"", SUM(INDEX(INDIRECT("'" &amp; B192 &amp; "'.$A$1:$Z$1000"), 0, MATCH("count", INDIRECT("'" &amp; B192 &amp; "'.$A$1:$Z$1"), 0))), "")</f>
        <v/>
      </c>
      <c r="E192" s="33" t="str">
        <f aca="true">IF(C192&lt;&gt;"", SUM(INDEX(INDIRECT("'" &amp; B192 &amp; "'.$A$1:$Z$1000"), 0, MATCH("cost", INDIRECT("'" &amp; B192 &amp; "'.$A$1:$Z$1"), 0))), "")</f>
        <v/>
      </c>
      <c r="F192" s="40" t="str">
        <f aca="true">IF(C192&lt;&gt;"", SUM(INDEX(INDIRECT("'" &amp; B192 &amp; "'.$A$1:$Z$1000"), 0, MATCH("total_assembly_time_min", INDIRECT("'" &amp; B192 &amp; "'.$A$1:$Z$1"), 0)))/60, "")</f>
        <v/>
      </c>
      <c r="G192" s="33" t="str">
        <f aca="false">IF(C192&lt;&gt;"", values!$B$2, "")</f>
        <v/>
      </c>
      <c r="H192" s="33" t="str">
        <f aca="false">IF(C192&lt;&gt;"", F192*G192, "")</f>
        <v/>
      </c>
      <c r="I192" s="33" t="str">
        <f aca="false">IF(C192&lt;&gt;"", H192+E192, "")</f>
        <v/>
      </c>
      <c r="K192" s="33" t="str">
        <f aca="false">IF(C192&lt;&gt;"", L192-I192, "")</f>
        <v/>
      </c>
      <c r="L192" s="33" t="str">
        <f aca="false">IF(C192&lt;&gt;"", I192/(1-J192), "")</f>
        <v/>
      </c>
      <c r="M192" s="33" t="str">
        <f aca="false">IF(C192&lt;&gt;"", values!$A$2, "")</f>
        <v/>
      </c>
      <c r="N192" s="33" t="str">
        <f aca="false">IF(C192&lt;&gt;"", O192-L192, "")</f>
        <v/>
      </c>
      <c r="O192" s="33" t="str">
        <f aca="false">IF(C192&lt;&gt;"", L192/(1-M192), "")</f>
        <v/>
      </c>
    </row>
    <row r="193" customFormat="false" ht="12.8" hidden="false" customHeight="false" outlineLevel="0" collapsed="false">
      <c r="A193" s="1" t="s">
        <v>1340</v>
      </c>
      <c r="B193" s="31" t="s">
        <v>1341</v>
      </c>
      <c r="D193" s="32" t="str">
        <f aca="true">IF(C193&lt;&gt;"", SUM(INDEX(INDIRECT("'" &amp; B193 &amp; "'.$A$1:$Z$1000"), 0, MATCH("count", INDIRECT("'" &amp; B193 &amp; "'.$A$1:$Z$1"), 0))), "")</f>
        <v/>
      </c>
      <c r="E193" s="33" t="str">
        <f aca="true">IF(C193&lt;&gt;"", SUM(INDEX(INDIRECT("'" &amp; B193 &amp; "'.$A$1:$Z$1000"), 0, MATCH("cost", INDIRECT("'" &amp; B193 &amp; "'.$A$1:$Z$1"), 0))), "")</f>
        <v/>
      </c>
      <c r="F193" s="40" t="str">
        <f aca="true">IF(C193&lt;&gt;"", SUM(INDEX(INDIRECT("'" &amp; B193 &amp; "'.$A$1:$Z$1000"), 0, MATCH("total_assembly_time_min", INDIRECT("'" &amp; B193 &amp; "'.$A$1:$Z$1"), 0)))/60, "")</f>
        <v/>
      </c>
      <c r="G193" s="33" t="str">
        <f aca="false">IF(C193&lt;&gt;"", values!$B$2, "")</f>
        <v/>
      </c>
      <c r="H193" s="33" t="str">
        <f aca="false">IF(C193&lt;&gt;"", F193*G193, "")</f>
        <v/>
      </c>
      <c r="I193" s="33" t="str">
        <f aca="false">IF(C193&lt;&gt;"", H193+E193, "")</f>
        <v/>
      </c>
      <c r="K193" s="33" t="str">
        <f aca="false">IF(C193&lt;&gt;"", L193-I193, "")</f>
        <v/>
      </c>
      <c r="L193" s="33" t="str">
        <f aca="false">IF(C193&lt;&gt;"", I193/(1-J193), "")</f>
        <v/>
      </c>
      <c r="M193" s="33" t="str">
        <f aca="false">IF(C193&lt;&gt;"", values!$A$2, "")</f>
        <v/>
      </c>
      <c r="N193" s="33" t="str">
        <f aca="false">IF(C193&lt;&gt;"", O193-L193, "")</f>
        <v/>
      </c>
      <c r="O193" s="33" t="str">
        <f aca="false">IF(C193&lt;&gt;"", L193/(1-M193), "")</f>
        <v/>
      </c>
    </row>
    <row r="194" customFormat="false" ht="12.8" hidden="false" customHeight="false" outlineLevel="0" collapsed="false">
      <c r="A194" s="1" t="s">
        <v>1342</v>
      </c>
      <c r="B194" s="31" t="s">
        <v>1343</v>
      </c>
      <c r="D194" s="32" t="str">
        <f aca="true">IF(C194&lt;&gt;"", SUM(INDEX(INDIRECT("'" &amp; B194 &amp; "'.$A$1:$Z$1000"), 0, MATCH("count", INDIRECT("'" &amp; B194 &amp; "'.$A$1:$Z$1"), 0))), "")</f>
        <v/>
      </c>
      <c r="E194" s="33" t="str">
        <f aca="true">IF(C194&lt;&gt;"", SUM(INDEX(INDIRECT("'" &amp; B194 &amp; "'.$A$1:$Z$1000"), 0, MATCH("cost", INDIRECT("'" &amp; B194 &amp; "'.$A$1:$Z$1"), 0))), "")</f>
        <v/>
      </c>
      <c r="F194" s="40" t="str">
        <f aca="true">IF(C194&lt;&gt;"", SUM(INDEX(INDIRECT("'" &amp; B194 &amp; "'.$A$1:$Z$1000"), 0, MATCH("total_assembly_time_min", INDIRECT("'" &amp; B194 &amp; "'.$A$1:$Z$1"), 0)))/60, "")</f>
        <v/>
      </c>
      <c r="G194" s="33" t="str">
        <f aca="false">IF(C194&lt;&gt;"", values!$B$2, "")</f>
        <v/>
      </c>
      <c r="H194" s="33" t="str">
        <f aca="false">IF(C194&lt;&gt;"", F194*G194, "")</f>
        <v/>
      </c>
      <c r="I194" s="33" t="str">
        <f aca="false">IF(C194&lt;&gt;"", H194+E194, "")</f>
        <v/>
      </c>
      <c r="K194" s="33" t="str">
        <f aca="false">IF(C194&lt;&gt;"", L194-I194, "")</f>
        <v/>
      </c>
      <c r="L194" s="33" t="str">
        <f aca="false">IF(C194&lt;&gt;"", I194/(1-J194), "")</f>
        <v/>
      </c>
      <c r="M194" s="33" t="str">
        <f aca="false">IF(C194&lt;&gt;"", values!$A$2, "")</f>
        <v/>
      </c>
      <c r="N194" s="33" t="str">
        <f aca="false">IF(C194&lt;&gt;"", O194-L194, "")</f>
        <v/>
      </c>
      <c r="O194" s="33" t="str">
        <f aca="false">IF(C194&lt;&gt;"", L194/(1-M194), "")</f>
        <v/>
      </c>
    </row>
    <row r="195" customFormat="false" ht="12.8" hidden="false" customHeight="false" outlineLevel="0" collapsed="false">
      <c r="A195" s="1" t="s">
        <v>1344</v>
      </c>
      <c r="B195" s="31" t="s">
        <v>1345</v>
      </c>
      <c r="D195" s="32" t="str">
        <f aca="true">IF(C195&lt;&gt;"", SUM(INDEX(INDIRECT("'" &amp; B195 &amp; "'.$A$1:$Z$1000"), 0, MATCH("count", INDIRECT("'" &amp; B195 &amp; "'.$A$1:$Z$1"), 0))), "")</f>
        <v/>
      </c>
      <c r="E195" s="33" t="str">
        <f aca="true">IF(C195&lt;&gt;"", SUM(INDEX(INDIRECT("'" &amp; B195 &amp; "'.$A$1:$Z$1000"), 0, MATCH("cost", INDIRECT("'" &amp; B195 &amp; "'.$A$1:$Z$1"), 0))), "")</f>
        <v/>
      </c>
      <c r="F195" s="40" t="str">
        <f aca="true">IF(C195&lt;&gt;"", SUM(INDEX(INDIRECT("'" &amp; B195 &amp; "'.$A$1:$Z$1000"), 0, MATCH("total_assembly_time_min", INDIRECT("'" &amp; B195 &amp; "'.$A$1:$Z$1"), 0)))/60, "")</f>
        <v/>
      </c>
      <c r="G195" s="33" t="str">
        <f aca="false">IF(C195&lt;&gt;"", values!$B$2, "")</f>
        <v/>
      </c>
      <c r="H195" s="33" t="str">
        <f aca="false">IF(C195&lt;&gt;"", F195*G195, "")</f>
        <v/>
      </c>
      <c r="I195" s="33" t="str">
        <f aca="false">IF(C195&lt;&gt;"", H195+E195, "")</f>
        <v/>
      </c>
      <c r="K195" s="33" t="str">
        <f aca="false">IF(C195&lt;&gt;"", L195-I195, "")</f>
        <v/>
      </c>
      <c r="L195" s="33" t="str">
        <f aca="false">IF(C195&lt;&gt;"", I195/(1-J195), "")</f>
        <v/>
      </c>
      <c r="M195" s="33" t="str">
        <f aca="false">IF(C195&lt;&gt;"", values!$A$2, "")</f>
        <v/>
      </c>
      <c r="N195" s="33" t="str">
        <f aca="false">IF(C195&lt;&gt;"", O195-L195, "")</f>
        <v/>
      </c>
      <c r="O195" s="33" t="str">
        <f aca="false">IF(C195&lt;&gt;"", L195/(1-M195), "")</f>
        <v/>
      </c>
    </row>
    <row r="196" customFormat="false" ht="12.8" hidden="false" customHeight="false" outlineLevel="0" collapsed="false">
      <c r="A196" s="1" t="s">
        <v>1346</v>
      </c>
      <c r="B196" s="31" t="s">
        <v>1347</v>
      </c>
      <c r="D196" s="32" t="str">
        <f aca="true">IF(C196&lt;&gt;"", SUM(INDEX(INDIRECT("'" &amp; B196 &amp; "'.$A$1:$Z$1000"), 0, MATCH("count", INDIRECT("'" &amp; B196 &amp; "'.$A$1:$Z$1"), 0))), "")</f>
        <v/>
      </c>
      <c r="E196" s="33" t="str">
        <f aca="true">IF(C196&lt;&gt;"", SUM(INDEX(INDIRECT("'" &amp; B196 &amp; "'.$A$1:$Z$1000"), 0, MATCH("cost", INDIRECT("'" &amp; B196 &amp; "'.$A$1:$Z$1"), 0))), "")</f>
        <v/>
      </c>
      <c r="F196" s="40" t="str">
        <f aca="true">IF(C196&lt;&gt;"", SUM(INDEX(INDIRECT("'" &amp; B196 &amp; "'.$A$1:$Z$1000"), 0, MATCH("total_assembly_time_min", INDIRECT("'" &amp; B196 &amp; "'.$A$1:$Z$1"), 0)))/60, "")</f>
        <v/>
      </c>
      <c r="G196" s="33" t="str">
        <f aca="false">IF(C196&lt;&gt;"", values!$B$2, "")</f>
        <v/>
      </c>
      <c r="H196" s="33" t="str">
        <f aca="false">IF(C196&lt;&gt;"", F196*G196, "")</f>
        <v/>
      </c>
      <c r="I196" s="33" t="str">
        <f aca="false">IF(C196&lt;&gt;"", H196+E196, "")</f>
        <v/>
      </c>
      <c r="K196" s="33" t="str">
        <f aca="false">IF(C196&lt;&gt;"", L196-I196, "")</f>
        <v/>
      </c>
      <c r="L196" s="33" t="str">
        <f aca="false">IF(C196&lt;&gt;"", I196/(1-J196), "")</f>
        <v/>
      </c>
      <c r="M196" s="33" t="str">
        <f aca="false">IF(C196&lt;&gt;"", values!$A$2, "")</f>
        <v/>
      </c>
      <c r="N196" s="33" t="str">
        <f aca="false">IF(C196&lt;&gt;"", O196-L196, "")</f>
        <v/>
      </c>
      <c r="O196" s="33" t="str">
        <f aca="false">IF(C196&lt;&gt;"", L196/(1-M196), "")</f>
        <v/>
      </c>
    </row>
    <row r="197" customFormat="false" ht="12.8" hidden="false" customHeight="false" outlineLevel="0" collapsed="false">
      <c r="A197" s="1" t="s">
        <v>1348</v>
      </c>
      <c r="B197" s="31" t="s">
        <v>1349</v>
      </c>
      <c r="D197" s="32" t="str">
        <f aca="true">IF(C197&lt;&gt;"", SUM(INDEX(INDIRECT("'" &amp; B197 &amp; "'.$A$1:$Z$1000"), 0, MATCH("count", INDIRECT("'" &amp; B197 &amp; "'.$A$1:$Z$1"), 0))), "")</f>
        <v/>
      </c>
      <c r="E197" s="33" t="str">
        <f aca="true">IF(C197&lt;&gt;"", SUM(INDEX(INDIRECT("'" &amp; B197 &amp; "'.$A$1:$Z$1000"), 0, MATCH("cost", INDIRECT("'" &amp; B197 &amp; "'.$A$1:$Z$1"), 0))), "")</f>
        <v/>
      </c>
      <c r="F197" s="40" t="str">
        <f aca="true">IF(C197&lt;&gt;"", SUM(INDEX(INDIRECT("'" &amp; B197 &amp; "'.$A$1:$Z$1000"), 0, MATCH("total_assembly_time_min", INDIRECT("'" &amp; B197 &amp; "'.$A$1:$Z$1"), 0)))/60, "")</f>
        <v/>
      </c>
      <c r="G197" s="33" t="str">
        <f aca="false">IF(C197&lt;&gt;"", values!$B$2, "")</f>
        <v/>
      </c>
      <c r="H197" s="33" t="str">
        <f aca="false">IF(C197&lt;&gt;"", F197*G197, "")</f>
        <v/>
      </c>
      <c r="I197" s="33" t="str">
        <f aca="false">IF(C197&lt;&gt;"", H197+E197, "")</f>
        <v/>
      </c>
      <c r="K197" s="33" t="str">
        <f aca="false">IF(C197&lt;&gt;"", L197-I197, "")</f>
        <v/>
      </c>
      <c r="L197" s="33" t="str">
        <f aca="false">IF(C197&lt;&gt;"", I197/(1-J197), "")</f>
        <v/>
      </c>
      <c r="M197" s="33" t="str">
        <f aca="false">IF(C197&lt;&gt;"", values!$A$2, "")</f>
        <v/>
      </c>
      <c r="N197" s="33" t="str">
        <f aca="false">IF(C197&lt;&gt;"", O197-L197, "")</f>
        <v/>
      </c>
      <c r="O197" s="33" t="str">
        <f aca="false">IF(C197&lt;&gt;"", L197/(1-M197), "")</f>
        <v/>
      </c>
    </row>
    <row r="198" customFormat="false" ht="12.8" hidden="false" customHeight="false" outlineLevel="0" collapsed="false">
      <c r="A198" s="1" t="s">
        <v>1350</v>
      </c>
      <c r="B198" s="31" t="s">
        <v>1351</v>
      </c>
      <c r="D198" s="32" t="str">
        <f aca="true">IF(C198&lt;&gt;"", SUM(INDEX(INDIRECT("'" &amp; B198 &amp; "'.$A$1:$Z$1000"), 0, MATCH("count", INDIRECT("'" &amp; B198 &amp; "'.$A$1:$Z$1"), 0))), "")</f>
        <v/>
      </c>
      <c r="E198" s="33" t="str">
        <f aca="true">IF(C198&lt;&gt;"", SUM(INDEX(INDIRECT("'" &amp; B198 &amp; "'.$A$1:$Z$1000"), 0, MATCH("cost", INDIRECT("'" &amp; B198 &amp; "'.$A$1:$Z$1"), 0))), "")</f>
        <v/>
      </c>
      <c r="F198" s="40" t="str">
        <f aca="true">IF(C198&lt;&gt;"", SUM(INDEX(INDIRECT("'" &amp; B198 &amp; "'.$A$1:$Z$1000"), 0, MATCH("total_assembly_time_min", INDIRECT("'" &amp; B198 &amp; "'.$A$1:$Z$1"), 0)))/60, "")</f>
        <v/>
      </c>
      <c r="G198" s="33" t="str">
        <f aca="false">IF(C198&lt;&gt;"", values!$B$2, "")</f>
        <v/>
      </c>
      <c r="H198" s="33" t="str">
        <f aca="false">IF(C198&lt;&gt;"", F198*G198, "")</f>
        <v/>
      </c>
      <c r="I198" s="33" t="str">
        <f aca="false">IF(C198&lt;&gt;"", H198+E198, "")</f>
        <v/>
      </c>
      <c r="K198" s="33" t="str">
        <f aca="false">IF(C198&lt;&gt;"", L198-I198, "")</f>
        <v/>
      </c>
      <c r="L198" s="33" t="str">
        <f aca="false">IF(C198&lt;&gt;"", I198/(1-J198), "")</f>
        <v/>
      </c>
      <c r="M198" s="33" t="str">
        <f aca="false">IF(C198&lt;&gt;"", values!$A$2, "")</f>
        <v/>
      </c>
      <c r="N198" s="33" t="str">
        <f aca="false">IF(C198&lt;&gt;"", O198-L198, "")</f>
        <v/>
      </c>
      <c r="O198" s="33" t="str">
        <f aca="false">IF(C198&lt;&gt;"", L198/(1-M198), "")</f>
        <v/>
      </c>
    </row>
    <row r="199" customFormat="false" ht="12.8" hidden="false" customHeight="false" outlineLevel="0" collapsed="false">
      <c r="A199" s="1" t="s">
        <v>1352</v>
      </c>
      <c r="B199" s="31" t="s">
        <v>1353</v>
      </c>
      <c r="D199" s="32" t="str">
        <f aca="true">IF(C199&lt;&gt;"", SUM(INDEX(INDIRECT("'" &amp; B199 &amp; "'.$A$1:$Z$1000"), 0, MATCH("count", INDIRECT("'" &amp; B199 &amp; "'.$A$1:$Z$1"), 0))), "")</f>
        <v/>
      </c>
      <c r="E199" s="33" t="str">
        <f aca="true">IF(C199&lt;&gt;"", SUM(INDEX(INDIRECT("'" &amp; B199 &amp; "'.$A$1:$Z$1000"), 0, MATCH("cost", INDIRECT("'" &amp; B199 &amp; "'.$A$1:$Z$1"), 0))), "")</f>
        <v/>
      </c>
      <c r="F199" s="40" t="str">
        <f aca="true">IF(C199&lt;&gt;"", SUM(INDEX(INDIRECT("'" &amp; B199 &amp; "'.$A$1:$Z$1000"), 0, MATCH("total_assembly_time_min", INDIRECT("'" &amp; B199 &amp; "'.$A$1:$Z$1"), 0)))/60, "")</f>
        <v/>
      </c>
      <c r="G199" s="33" t="str">
        <f aca="false">IF(C199&lt;&gt;"", values!$B$2, "")</f>
        <v/>
      </c>
      <c r="H199" s="33" t="str">
        <f aca="false">IF(C199&lt;&gt;"", F199*G199, "")</f>
        <v/>
      </c>
      <c r="I199" s="33" t="str">
        <f aca="false">IF(C199&lt;&gt;"", H199+E199, "")</f>
        <v/>
      </c>
      <c r="K199" s="33" t="str">
        <f aca="false">IF(C199&lt;&gt;"", L199-I199, "")</f>
        <v/>
      </c>
      <c r="L199" s="33" t="str">
        <f aca="false">IF(C199&lt;&gt;"", I199/(1-J199), "")</f>
        <v/>
      </c>
      <c r="M199" s="33" t="str">
        <f aca="false">IF(C199&lt;&gt;"", values!$A$2, "")</f>
        <v/>
      </c>
      <c r="N199" s="33" t="str">
        <f aca="false">IF(C199&lt;&gt;"", O199-L199, "")</f>
        <v/>
      </c>
      <c r="O199" s="33" t="str">
        <f aca="false">IF(C199&lt;&gt;"", L199/(1-M199), "")</f>
        <v/>
      </c>
    </row>
    <row r="200" customFormat="false" ht="12.8" hidden="false" customHeight="false" outlineLevel="0" collapsed="false">
      <c r="A200" s="1" t="s">
        <v>1354</v>
      </c>
      <c r="B200" s="31" t="s">
        <v>1355</v>
      </c>
      <c r="D200" s="32" t="str">
        <f aca="true">IF(C200&lt;&gt;"", SUM(INDEX(INDIRECT("'" &amp; B200 &amp; "'.$A$1:$Z$1000"), 0, MATCH("count", INDIRECT("'" &amp; B200 &amp; "'.$A$1:$Z$1"), 0))), "")</f>
        <v/>
      </c>
      <c r="E200" s="33" t="str">
        <f aca="true">IF(C200&lt;&gt;"", SUM(INDEX(INDIRECT("'" &amp; B200 &amp; "'.$A$1:$Z$1000"), 0, MATCH("cost", INDIRECT("'" &amp; B200 &amp; "'.$A$1:$Z$1"), 0))), "")</f>
        <v/>
      </c>
      <c r="F200" s="40" t="str">
        <f aca="true">IF(C200&lt;&gt;"", SUM(INDEX(INDIRECT("'" &amp; B200 &amp; "'.$A$1:$Z$1000"), 0, MATCH("total_assembly_time_min", INDIRECT("'" &amp; B200 &amp; "'.$A$1:$Z$1"), 0)))/60, "")</f>
        <v/>
      </c>
      <c r="G200" s="33" t="str">
        <f aca="false">IF(C200&lt;&gt;"", values!$B$2, "")</f>
        <v/>
      </c>
      <c r="H200" s="33" t="str">
        <f aca="false">IF(C200&lt;&gt;"", F200*G200, "")</f>
        <v/>
      </c>
      <c r="I200" s="33" t="str">
        <f aca="false">IF(C200&lt;&gt;"", H200+E200, "")</f>
        <v/>
      </c>
      <c r="K200" s="33" t="str">
        <f aca="false">IF(C200&lt;&gt;"", L200-I200, "")</f>
        <v/>
      </c>
      <c r="L200" s="33" t="str">
        <f aca="false">IF(C200&lt;&gt;"", I200/(1-J200), "")</f>
        <v/>
      </c>
      <c r="M200" s="33" t="str">
        <f aca="false">IF(C200&lt;&gt;"", values!$A$2, "")</f>
        <v/>
      </c>
      <c r="N200" s="33" t="str">
        <f aca="false">IF(C200&lt;&gt;"", O200-L200, "")</f>
        <v/>
      </c>
      <c r="O200" s="33" t="str">
        <f aca="false">IF(C200&lt;&gt;"", L200/(1-M200), "")</f>
        <v/>
      </c>
    </row>
    <row r="201" customFormat="false" ht="12.8" hidden="false" customHeight="false" outlineLevel="0" collapsed="false">
      <c r="A201" s="1" t="s">
        <v>1356</v>
      </c>
      <c r="B201" s="31" t="s">
        <v>1357</v>
      </c>
      <c r="D201" s="32" t="str">
        <f aca="true">IF(C201&lt;&gt;"", SUM(INDEX(INDIRECT("'" &amp; B201 &amp; "'.$A$1:$Z$1000"), 0, MATCH("count", INDIRECT("'" &amp; B201 &amp; "'.$A$1:$Z$1"), 0))), "")</f>
        <v/>
      </c>
      <c r="E201" s="33" t="str">
        <f aca="true">IF(C201&lt;&gt;"", SUM(INDEX(INDIRECT("'" &amp; B201 &amp; "'.$A$1:$Z$1000"), 0, MATCH("cost", INDIRECT("'" &amp; B201 &amp; "'.$A$1:$Z$1"), 0))), "")</f>
        <v/>
      </c>
      <c r="F201" s="40" t="str">
        <f aca="true">IF(C201&lt;&gt;"", SUM(INDEX(INDIRECT("'" &amp; B201 &amp; "'.$A$1:$Z$1000"), 0, MATCH("total_assembly_time_min", INDIRECT("'" &amp; B201 &amp; "'.$A$1:$Z$1"), 0)))/60, "")</f>
        <v/>
      </c>
      <c r="G201" s="33" t="str">
        <f aca="false">IF(C201&lt;&gt;"", values!$B$2, "")</f>
        <v/>
      </c>
      <c r="H201" s="33" t="str">
        <f aca="false">IF(C201&lt;&gt;"", F201*G201, "")</f>
        <v/>
      </c>
      <c r="I201" s="33" t="str">
        <f aca="false">IF(C201&lt;&gt;"", H201+E201, "")</f>
        <v/>
      </c>
      <c r="K201" s="33" t="str">
        <f aca="false">IF(C201&lt;&gt;"", L201-I201, "")</f>
        <v/>
      </c>
      <c r="L201" s="33" t="str">
        <f aca="false">IF(C201&lt;&gt;"", I201/(1-J201), "")</f>
        <v/>
      </c>
      <c r="M201" s="33" t="str">
        <f aca="false">IF(C201&lt;&gt;"", values!$A$2, "")</f>
        <v/>
      </c>
      <c r="N201" s="33" t="str">
        <f aca="false">IF(C201&lt;&gt;"", O201-L201, "")</f>
        <v/>
      </c>
      <c r="O201" s="33" t="str">
        <f aca="false">IF(C201&lt;&gt;"", L201/(1-M201), "")</f>
        <v/>
      </c>
    </row>
    <row r="202" customFormat="false" ht="12.8" hidden="false" customHeight="false" outlineLevel="0" collapsed="false">
      <c r="A202" s="1" t="s">
        <v>1358</v>
      </c>
      <c r="B202" s="31" t="s">
        <v>1359</v>
      </c>
      <c r="D202" s="32" t="str">
        <f aca="true">IF(C202&lt;&gt;"", SUM(INDEX(INDIRECT("'" &amp; B202 &amp; "'.$A$1:$Z$1000"), 0, MATCH("count", INDIRECT("'" &amp; B202 &amp; "'.$A$1:$Z$1"), 0))), "")</f>
        <v/>
      </c>
      <c r="E202" s="33" t="str">
        <f aca="true">IF(C202&lt;&gt;"", SUM(INDEX(INDIRECT("'" &amp; B202 &amp; "'.$A$1:$Z$1000"), 0, MATCH("cost", INDIRECT("'" &amp; B202 &amp; "'.$A$1:$Z$1"), 0))), "")</f>
        <v/>
      </c>
      <c r="F202" s="40" t="str">
        <f aca="true">IF(C202&lt;&gt;"", SUM(INDEX(INDIRECT("'" &amp; B202 &amp; "'.$A$1:$Z$1000"), 0, MATCH("total_assembly_time_min", INDIRECT("'" &amp; B202 &amp; "'.$A$1:$Z$1"), 0)))/60, "")</f>
        <v/>
      </c>
      <c r="G202" s="33" t="str">
        <f aca="false">IF(C202&lt;&gt;"", values!$B$2, "")</f>
        <v/>
      </c>
      <c r="H202" s="33" t="str">
        <f aca="false">IF(C202&lt;&gt;"", F202*G202, "")</f>
        <v/>
      </c>
      <c r="I202" s="33" t="str">
        <f aca="false">IF(C202&lt;&gt;"", H202+E202, "")</f>
        <v/>
      </c>
      <c r="K202" s="33" t="str">
        <f aca="false">IF(C202&lt;&gt;"", L202-I202, "")</f>
        <v/>
      </c>
      <c r="L202" s="33" t="str">
        <f aca="false">IF(C202&lt;&gt;"", I202/(1-J202), "")</f>
        <v/>
      </c>
      <c r="M202" s="33" t="str">
        <f aca="false">IF(C202&lt;&gt;"", values!$A$2, "")</f>
        <v/>
      </c>
      <c r="N202" s="33" t="str">
        <f aca="false">IF(C202&lt;&gt;"", O202-L202, "")</f>
        <v/>
      </c>
      <c r="O202" s="33" t="str">
        <f aca="false">IF(C202&lt;&gt;"", L202/(1-M202), "")</f>
        <v/>
      </c>
    </row>
    <row r="203" customFormat="false" ht="12.8" hidden="false" customHeight="false" outlineLevel="0" collapsed="false">
      <c r="A203" s="1" t="s">
        <v>1360</v>
      </c>
      <c r="B203" s="31" t="s">
        <v>1361</v>
      </c>
      <c r="D203" s="32" t="str">
        <f aca="true">IF(C203&lt;&gt;"", SUM(INDEX(INDIRECT("'" &amp; B203 &amp; "'.$A$1:$Z$1000"), 0, MATCH("count", INDIRECT("'" &amp; B203 &amp; "'.$A$1:$Z$1"), 0))), "")</f>
        <v/>
      </c>
      <c r="E203" s="33" t="str">
        <f aca="true">IF(C203&lt;&gt;"", SUM(INDEX(INDIRECT("'" &amp; B203 &amp; "'.$A$1:$Z$1000"), 0, MATCH("cost", INDIRECT("'" &amp; B203 &amp; "'.$A$1:$Z$1"), 0))), "")</f>
        <v/>
      </c>
      <c r="F203" s="40" t="str">
        <f aca="true">IF(C203&lt;&gt;"", SUM(INDEX(INDIRECT("'" &amp; B203 &amp; "'.$A$1:$Z$1000"), 0, MATCH("total_assembly_time_min", INDIRECT("'" &amp; B203 &amp; "'.$A$1:$Z$1"), 0)))/60, "")</f>
        <v/>
      </c>
      <c r="G203" s="33" t="str">
        <f aca="false">IF(C203&lt;&gt;"", values!$B$2, "")</f>
        <v/>
      </c>
      <c r="H203" s="33" t="str">
        <f aca="false">IF(C203&lt;&gt;"", F203*G203, "")</f>
        <v/>
      </c>
      <c r="I203" s="33" t="str">
        <f aca="false">IF(C203&lt;&gt;"", H203+E203, "")</f>
        <v/>
      </c>
      <c r="K203" s="33" t="str">
        <f aca="false">IF(C203&lt;&gt;"", L203-I203, "")</f>
        <v/>
      </c>
      <c r="L203" s="33" t="str">
        <f aca="false">IF(C203&lt;&gt;"", I203/(1-J203), "")</f>
        <v/>
      </c>
      <c r="M203" s="33" t="str">
        <f aca="false">IF(C203&lt;&gt;"", values!$A$2, "")</f>
        <v/>
      </c>
      <c r="N203" s="33" t="str">
        <f aca="false">IF(C203&lt;&gt;"", O203-L203, "")</f>
        <v/>
      </c>
      <c r="O203" s="33" t="str">
        <f aca="false">IF(C203&lt;&gt;"", L203/(1-M203), "")</f>
        <v/>
      </c>
    </row>
    <row r="204" customFormat="false" ht="12.8" hidden="false" customHeight="false" outlineLevel="0" collapsed="false">
      <c r="A204" s="1" t="s">
        <v>1362</v>
      </c>
      <c r="B204" s="31" t="s">
        <v>1363</v>
      </c>
      <c r="D204" s="32" t="str">
        <f aca="true">IF(C204&lt;&gt;"", SUM(INDEX(INDIRECT("'" &amp; B204 &amp; "'.$A$1:$Z$1000"), 0, MATCH("count", INDIRECT("'" &amp; B204 &amp; "'.$A$1:$Z$1"), 0))), "")</f>
        <v/>
      </c>
      <c r="E204" s="33" t="str">
        <f aca="true">IF(C204&lt;&gt;"", SUM(INDEX(INDIRECT("'" &amp; B204 &amp; "'.$A$1:$Z$1000"), 0, MATCH("cost", INDIRECT("'" &amp; B204 &amp; "'.$A$1:$Z$1"), 0))), "")</f>
        <v/>
      </c>
      <c r="F204" s="40" t="str">
        <f aca="true">IF(C204&lt;&gt;"", SUM(INDEX(INDIRECT("'" &amp; B204 &amp; "'.$A$1:$Z$1000"), 0, MATCH("total_assembly_time_min", INDIRECT("'" &amp; B204 &amp; "'.$A$1:$Z$1"), 0)))/60, "")</f>
        <v/>
      </c>
      <c r="G204" s="33" t="str">
        <f aca="false">IF(C204&lt;&gt;"", values!$B$2, "")</f>
        <v/>
      </c>
      <c r="H204" s="33" t="str">
        <f aca="false">IF(C204&lt;&gt;"", F204*G204, "")</f>
        <v/>
      </c>
      <c r="I204" s="33" t="str">
        <f aca="false">IF(C204&lt;&gt;"", H204+E204, "")</f>
        <v/>
      </c>
      <c r="K204" s="33" t="str">
        <f aca="false">IF(C204&lt;&gt;"", L204-I204, "")</f>
        <v/>
      </c>
      <c r="L204" s="33" t="str">
        <f aca="false">IF(C204&lt;&gt;"", I204/(1-J204), "")</f>
        <v/>
      </c>
      <c r="M204" s="33" t="str">
        <f aca="false">IF(C204&lt;&gt;"", values!$A$2, "")</f>
        <v/>
      </c>
      <c r="N204" s="33" t="str">
        <f aca="false">IF(C204&lt;&gt;"", O204-L204, "")</f>
        <v/>
      </c>
      <c r="O204" s="33" t="str">
        <f aca="false">IF(C204&lt;&gt;"", L204/(1-M204), "")</f>
        <v/>
      </c>
    </row>
    <row r="205" customFormat="false" ht="12.8" hidden="false" customHeight="false" outlineLevel="0" collapsed="false">
      <c r="A205" s="1" t="s">
        <v>1364</v>
      </c>
      <c r="B205" s="31" t="s">
        <v>1365</v>
      </c>
      <c r="D205" s="32" t="str">
        <f aca="true">IF(C205&lt;&gt;"", SUM(INDEX(INDIRECT("'" &amp; B205 &amp; "'.$A$1:$Z$1000"), 0, MATCH("count", INDIRECT("'" &amp; B205 &amp; "'.$A$1:$Z$1"), 0))), "")</f>
        <v/>
      </c>
      <c r="E205" s="33" t="str">
        <f aca="true">IF(C205&lt;&gt;"", SUM(INDEX(INDIRECT("'" &amp; B205 &amp; "'.$A$1:$Z$1000"), 0, MATCH("cost", INDIRECT("'" &amp; B205 &amp; "'.$A$1:$Z$1"), 0))), "")</f>
        <v/>
      </c>
      <c r="F205" s="40" t="str">
        <f aca="true">IF(C205&lt;&gt;"", SUM(INDEX(INDIRECT("'" &amp; B205 &amp; "'.$A$1:$Z$1000"), 0, MATCH("total_assembly_time_min", INDIRECT("'" &amp; B205 &amp; "'.$A$1:$Z$1"), 0)))/60, "")</f>
        <v/>
      </c>
      <c r="G205" s="33" t="str">
        <f aca="false">IF(C205&lt;&gt;"", values!$B$2, "")</f>
        <v/>
      </c>
      <c r="H205" s="33" t="str">
        <f aca="false">IF(C205&lt;&gt;"", F205*G205, "")</f>
        <v/>
      </c>
      <c r="I205" s="33" t="str">
        <f aca="false">IF(C205&lt;&gt;"", H205+E205, "")</f>
        <v/>
      </c>
      <c r="K205" s="33" t="str">
        <f aca="false">IF(C205&lt;&gt;"", L205-I205, "")</f>
        <v/>
      </c>
      <c r="L205" s="33" t="str">
        <f aca="false">IF(C205&lt;&gt;"", I205/(1-J205), "")</f>
        <v/>
      </c>
      <c r="M205" s="33" t="str">
        <f aca="false">IF(C205&lt;&gt;"", values!$A$2, "")</f>
        <v/>
      </c>
      <c r="N205" s="33" t="str">
        <f aca="false">IF(C205&lt;&gt;"", O205-L205, "")</f>
        <v/>
      </c>
      <c r="O205" s="33" t="str">
        <f aca="false">IF(C205&lt;&gt;"", L205/(1-M205), "")</f>
        <v/>
      </c>
    </row>
    <row r="206" customFormat="false" ht="12.8" hidden="false" customHeight="false" outlineLevel="0" collapsed="false">
      <c r="A206" s="1" t="s">
        <v>1366</v>
      </c>
      <c r="B206" s="31" t="s">
        <v>1367</v>
      </c>
      <c r="D206" s="32" t="str">
        <f aca="true">IF(C206&lt;&gt;"", SUM(INDEX(INDIRECT("'" &amp; B206 &amp; "'.$A$1:$Z$1000"), 0, MATCH("count", INDIRECT("'" &amp; B206 &amp; "'.$A$1:$Z$1"), 0))), "")</f>
        <v/>
      </c>
      <c r="E206" s="33" t="str">
        <f aca="true">IF(C206&lt;&gt;"", SUM(INDEX(INDIRECT("'" &amp; B206 &amp; "'.$A$1:$Z$1000"), 0, MATCH("cost", INDIRECT("'" &amp; B206 &amp; "'.$A$1:$Z$1"), 0))), "")</f>
        <v/>
      </c>
      <c r="F206" s="40" t="str">
        <f aca="true">IF(C206&lt;&gt;"", SUM(INDEX(INDIRECT("'" &amp; B206 &amp; "'.$A$1:$Z$1000"), 0, MATCH("total_assembly_time_min", INDIRECT("'" &amp; B206 &amp; "'.$A$1:$Z$1"), 0)))/60, "")</f>
        <v/>
      </c>
      <c r="G206" s="33" t="str">
        <f aca="false">IF(C206&lt;&gt;"", values!$B$2, "")</f>
        <v/>
      </c>
      <c r="H206" s="33" t="str">
        <f aca="false">IF(C206&lt;&gt;"", F206*G206, "")</f>
        <v/>
      </c>
      <c r="I206" s="33" t="str">
        <f aca="false">IF(C206&lt;&gt;"", H206+E206, "")</f>
        <v/>
      </c>
      <c r="K206" s="33" t="str">
        <f aca="false">IF(C206&lt;&gt;"", L206-I206, "")</f>
        <v/>
      </c>
      <c r="L206" s="33" t="str">
        <f aca="false">IF(C206&lt;&gt;"", I206/(1-J206), "")</f>
        <v/>
      </c>
      <c r="M206" s="33" t="str">
        <f aca="false">IF(C206&lt;&gt;"", values!$A$2, "")</f>
        <v/>
      </c>
      <c r="N206" s="33" t="str">
        <f aca="false">IF(C206&lt;&gt;"", O206-L206, "")</f>
        <v/>
      </c>
      <c r="O206" s="33" t="str">
        <f aca="false">IF(C206&lt;&gt;"", L206/(1-M206), "")</f>
        <v/>
      </c>
    </row>
    <row r="207" customFormat="false" ht="12.8" hidden="false" customHeight="false" outlineLevel="0" collapsed="false">
      <c r="A207" s="1" t="s">
        <v>1368</v>
      </c>
      <c r="B207" s="31" t="s">
        <v>1369</v>
      </c>
      <c r="D207" s="32" t="str">
        <f aca="true">IF(C207&lt;&gt;"", SUM(INDEX(INDIRECT("'" &amp; B207 &amp; "'.$A$1:$Z$1000"), 0, MATCH("count", INDIRECT("'" &amp; B207 &amp; "'.$A$1:$Z$1"), 0))), "")</f>
        <v/>
      </c>
      <c r="E207" s="33" t="str">
        <f aca="true">IF(C207&lt;&gt;"", SUM(INDEX(INDIRECT("'" &amp; B207 &amp; "'.$A$1:$Z$1000"), 0, MATCH("cost", INDIRECT("'" &amp; B207 &amp; "'.$A$1:$Z$1"), 0))), "")</f>
        <v/>
      </c>
      <c r="F207" s="40" t="str">
        <f aca="true">IF(C207&lt;&gt;"", SUM(INDEX(INDIRECT("'" &amp; B207 &amp; "'.$A$1:$Z$1000"), 0, MATCH("total_assembly_time_min", INDIRECT("'" &amp; B207 &amp; "'.$A$1:$Z$1"), 0)))/60, "")</f>
        <v/>
      </c>
      <c r="G207" s="33" t="str">
        <f aca="false">IF(C207&lt;&gt;"", values!$B$2, "")</f>
        <v/>
      </c>
      <c r="H207" s="33" t="str">
        <f aca="false">IF(C207&lt;&gt;"", F207*G207, "")</f>
        <v/>
      </c>
      <c r="I207" s="33" t="str">
        <f aca="false">IF(C207&lt;&gt;"", H207+E207, "")</f>
        <v/>
      </c>
      <c r="K207" s="33" t="str">
        <f aca="false">IF(C207&lt;&gt;"", L207-I207, "")</f>
        <v/>
      </c>
      <c r="L207" s="33" t="str">
        <f aca="false">IF(C207&lt;&gt;"", I207/(1-J207), "")</f>
        <v/>
      </c>
      <c r="M207" s="33" t="str">
        <f aca="false">IF(C207&lt;&gt;"", values!$A$2, "")</f>
        <v/>
      </c>
      <c r="N207" s="33" t="str">
        <f aca="false">IF(C207&lt;&gt;"", O207-L207, "")</f>
        <v/>
      </c>
      <c r="O207" s="33" t="str">
        <f aca="false">IF(C207&lt;&gt;"", L207/(1-M207), "")</f>
        <v/>
      </c>
    </row>
    <row r="208" customFormat="false" ht="12.8" hidden="false" customHeight="false" outlineLevel="0" collapsed="false">
      <c r="A208" s="1" t="s">
        <v>1370</v>
      </c>
      <c r="B208" s="31" t="s">
        <v>1371</v>
      </c>
      <c r="D208" s="32" t="str">
        <f aca="true">IF(C208&lt;&gt;"", SUM(INDEX(INDIRECT("'" &amp; B208 &amp; "'.$A$1:$Z$1000"), 0, MATCH("count", INDIRECT("'" &amp; B208 &amp; "'.$A$1:$Z$1"), 0))), "")</f>
        <v/>
      </c>
      <c r="E208" s="33" t="str">
        <f aca="true">IF(C208&lt;&gt;"", SUM(INDEX(INDIRECT("'" &amp; B208 &amp; "'.$A$1:$Z$1000"), 0, MATCH("cost", INDIRECT("'" &amp; B208 &amp; "'.$A$1:$Z$1"), 0))), "")</f>
        <v/>
      </c>
      <c r="F208" s="40" t="str">
        <f aca="true">IF(C208&lt;&gt;"", SUM(INDEX(INDIRECT("'" &amp; B208 &amp; "'.$A$1:$Z$1000"), 0, MATCH("total_assembly_time_min", INDIRECT("'" &amp; B208 &amp; "'.$A$1:$Z$1"), 0)))/60, "")</f>
        <v/>
      </c>
      <c r="G208" s="33" t="str">
        <f aca="false">IF(C208&lt;&gt;"", values!$B$2, "")</f>
        <v/>
      </c>
      <c r="H208" s="33" t="str">
        <f aca="false">IF(C208&lt;&gt;"", F208*G208, "")</f>
        <v/>
      </c>
      <c r="I208" s="33" t="str">
        <f aca="false">IF(C208&lt;&gt;"", H208+E208, "")</f>
        <v/>
      </c>
      <c r="K208" s="33" t="str">
        <f aca="false">IF(C208&lt;&gt;"", L208-I208, "")</f>
        <v/>
      </c>
      <c r="L208" s="33" t="str">
        <f aca="false">IF(C208&lt;&gt;"", I208/(1-J208), "")</f>
        <v/>
      </c>
      <c r="M208" s="33" t="str">
        <f aca="false">IF(C208&lt;&gt;"", values!$A$2, "")</f>
        <v/>
      </c>
      <c r="N208" s="33" t="str">
        <f aca="false">IF(C208&lt;&gt;"", O208-L208, "")</f>
        <v/>
      </c>
      <c r="O208" s="33" t="str">
        <f aca="false">IF(C208&lt;&gt;"", L208/(1-M208), "")</f>
        <v/>
      </c>
    </row>
    <row r="209" customFormat="false" ht="12.8" hidden="false" customHeight="false" outlineLevel="0" collapsed="false">
      <c r="A209" s="1" t="s">
        <v>1372</v>
      </c>
      <c r="B209" s="31" t="s">
        <v>1373</v>
      </c>
      <c r="D209" s="32" t="str">
        <f aca="true">IF(C209&lt;&gt;"", SUM(INDEX(INDIRECT("'" &amp; B209 &amp; "'.$A$1:$Z$1000"), 0, MATCH("count", INDIRECT("'" &amp; B209 &amp; "'.$A$1:$Z$1"), 0))), "")</f>
        <v/>
      </c>
      <c r="E209" s="33" t="str">
        <f aca="true">IF(C209&lt;&gt;"", SUM(INDEX(INDIRECT("'" &amp; B209 &amp; "'.$A$1:$Z$1000"), 0, MATCH("cost", INDIRECT("'" &amp; B209 &amp; "'.$A$1:$Z$1"), 0))), "")</f>
        <v/>
      </c>
      <c r="F209" s="40" t="str">
        <f aca="true">IF(C209&lt;&gt;"", SUM(INDEX(INDIRECT("'" &amp; B209 &amp; "'.$A$1:$Z$1000"), 0, MATCH("total_assembly_time_min", INDIRECT("'" &amp; B209 &amp; "'.$A$1:$Z$1"), 0)))/60, "")</f>
        <v/>
      </c>
      <c r="G209" s="33" t="str">
        <f aca="false">IF(C209&lt;&gt;"", values!$B$2, "")</f>
        <v/>
      </c>
      <c r="H209" s="33" t="str">
        <f aca="false">IF(C209&lt;&gt;"", F209*G209, "")</f>
        <v/>
      </c>
      <c r="I209" s="33" t="str">
        <f aca="false">IF(C209&lt;&gt;"", H209+E209, "")</f>
        <v/>
      </c>
      <c r="K209" s="33" t="str">
        <f aca="false">IF(C209&lt;&gt;"", L209-I209, "")</f>
        <v/>
      </c>
      <c r="L209" s="33" t="str">
        <f aca="false">IF(C209&lt;&gt;"", I209/(1-J209), "")</f>
        <v/>
      </c>
      <c r="M209" s="33" t="str">
        <f aca="false">IF(C209&lt;&gt;"", values!$A$2, "")</f>
        <v/>
      </c>
      <c r="N209" s="33" t="str">
        <f aca="false">IF(C209&lt;&gt;"", O209-L209, "")</f>
        <v/>
      </c>
      <c r="O209" s="33" t="str">
        <f aca="false">IF(C209&lt;&gt;"", L209/(1-M209), "")</f>
        <v/>
      </c>
    </row>
    <row r="210" customFormat="false" ht="12.8" hidden="false" customHeight="false" outlineLevel="0" collapsed="false">
      <c r="A210" s="1" t="s">
        <v>1374</v>
      </c>
      <c r="B210" s="31" t="s">
        <v>1375</v>
      </c>
      <c r="D210" s="32" t="str">
        <f aca="true">IF(C210&lt;&gt;"", SUM(INDEX(INDIRECT("'" &amp; B210 &amp; "'.$A$1:$Z$1000"), 0, MATCH("count", INDIRECT("'" &amp; B210 &amp; "'.$A$1:$Z$1"), 0))), "")</f>
        <v/>
      </c>
      <c r="E210" s="33" t="str">
        <f aca="true">IF(C210&lt;&gt;"", SUM(INDEX(INDIRECT("'" &amp; B210 &amp; "'.$A$1:$Z$1000"), 0, MATCH("cost", INDIRECT("'" &amp; B210 &amp; "'.$A$1:$Z$1"), 0))), "")</f>
        <v/>
      </c>
      <c r="F210" s="40" t="str">
        <f aca="true">IF(C210&lt;&gt;"", SUM(INDEX(INDIRECT("'" &amp; B210 &amp; "'.$A$1:$Z$1000"), 0, MATCH("total_assembly_time_min", INDIRECT("'" &amp; B210 &amp; "'.$A$1:$Z$1"), 0)))/60, "")</f>
        <v/>
      </c>
      <c r="G210" s="33" t="str">
        <f aca="false">IF(C210&lt;&gt;"", values!$B$2, "")</f>
        <v/>
      </c>
      <c r="H210" s="33" t="str">
        <f aca="false">IF(C210&lt;&gt;"", F210*G210, "")</f>
        <v/>
      </c>
      <c r="I210" s="33" t="str">
        <f aca="false">IF(C210&lt;&gt;"", H210+E210, "")</f>
        <v/>
      </c>
      <c r="K210" s="33" t="str">
        <f aca="false">IF(C210&lt;&gt;"", L210-I210, "")</f>
        <v/>
      </c>
      <c r="L210" s="33" t="str">
        <f aca="false">IF(C210&lt;&gt;"", I210/(1-J210), "")</f>
        <v/>
      </c>
      <c r="M210" s="33" t="str">
        <f aca="false">IF(C210&lt;&gt;"", values!$A$2, "")</f>
        <v/>
      </c>
      <c r="N210" s="33" t="str">
        <f aca="false">IF(C210&lt;&gt;"", O210-L210, "")</f>
        <v/>
      </c>
      <c r="O210" s="33" t="str">
        <f aca="false">IF(C210&lt;&gt;"", L210/(1-M210), "")</f>
        <v/>
      </c>
    </row>
    <row r="211" customFormat="false" ht="12.8" hidden="false" customHeight="false" outlineLevel="0" collapsed="false">
      <c r="A211" s="1" t="s">
        <v>1376</v>
      </c>
      <c r="B211" s="31" t="s">
        <v>1377</v>
      </c>
      <c r="D211" s="32" t="str">
        <f aca="true">IF(C211&lt;&gt;"", SUM(INDEX(INDIRECT("'" &amp; B211 &amp; "'.$A$1:$Z$1000"), 0, MATCH("count", INDIRECT("'" &amp; B211 &amp; "'.$A$1:$Z$1"), 0))), "")</f>
        <v/>
      </c>
      <c r="E211" s="33" t="str">
        <f aca="true">IF(C211&lt;&gt;"", SUM(INDEX(INDIRECT("'" &amp; B211 &amp; "'.$A$1:$Z$1000"), 0, MATCH("cost", INDIRECT("'" &amp; B211 &amp; "'.$A$1:$Z$1"), 0))), "")</f>
        <v/>
      </c>
      <c r="F211" s="40" t="str">
        <f aca="true">IF(C211&lt;&gt;"", SUM(INDEX(INDIRECT("'" &amp; B211 &amp; "'.$A$1:$Z$1000"), 0, MATCH("total_assembly_time_min", INDIRECT("'" &amp; B211 &amp; "'.$A$1:$Z$1"), 0)))/60, "")</f>
        <v/>
      </c>
      <c r="G211" s="33" t="str">
        <f aca="false">IF(C211&lt;&gt;"", values!$B$2, "")</f>
        <v/>
      </c>
      <c r="H211" s="33" t="str">
        <f aca="false">IF(C211&lt;&gt;"", F211*G211, "")</f>
        <v/>
      </c>
      <c r="I211" s="33" t="str">
        <f aca="false">IF(C211&lt;&gt;"", H211+E211, "")</f>
        <v/>
      </c>
      <c r="K211" s="33" t="str">
        <f aca="false">IF(C211&lt;&gt;"", L211-I211, "")</f>
        <v/>
      </c>
      <c r="L211" s="33" t="str">
        <f aca="false">IF(C211&lt;&gt;"", I211/(1-J211), "")</f>
        <v/>
      </c>
      <c r="M211" s="33" t="str">
        <f aca="false">IF(C211&lt;&gt;"", values!$A$2, "")</f>
        <v/>
      </c>
      <c r="N211" s="33" t="str">
        <f aca="false">IF(C211&lt;&gt;"", O211-L211, "")</f>
        <v/>
      </c>
      <c r="O211" s="33" t="str">
        <f aca="false">IF(C211&lt;&gt;"", L211/(1-M211), "")</f>
        <v/>
      </c>
    </row>
    <row r="212" customFormat="false" ht="12.8" hidden="false" customHeight="false" outlineLevel="0" collapsed="false">
      <c r="A212" s="1" t="s">
        <v>1378</v>
      </c>
      <c r="B212" s="31" t="s">
        <v>1379</v>
      </c>
      <c r="D212" s="32" t="str">
        <f aca="true">IF(C212&lt;&gt;"", SUM(INDEX(INDIRECT("'" &amp; B212 &amp; "'.$A$1:$Z$1000"), 0, MATCH("count", INDIRECT("'" &amp; B212 &amp; "'.$A$1:$Z$1"), 0))), "")</f>
        <v/>
      </c>
      <c r="E212" s="33" t="str">
        <f aca="true">IF(C212&lt;&gt;"", SUM(INDEX(INDIRECT("'" &amp; B212 &amp; "'.$A$1:$Z$1000"), 0, MATCH("cost", INDIRECT("'" &amp; B212 &amp; "'.$A$1:$Z$1"), 0))), "")</f>
        <v/>
      </c>
      <c r="F212" s="40" t="str">
        <f aca="true">IF(C212&lt;&gt;"", SUM(INDEX(INDIRECT("'" &amp; B212 &amp; "'.$A$1:$Z$1000"), 0, MATCH("total_assembly_time_min", INDIRECT("'" &amp; B212 &amp; "'.$A$1:$Z$1"), 0)))/60, "")</f>
        <v/>
      </c>
      <c r="G212" s="33" t="str">
        <f aca="false">IF(C212&lt;&gt;"", values!$B$2, "")</f>
        <v/>
      </c>
      <c r="H212" s="33" t="str">
        <f aca="false">IF(C212&lt;&gt;"", F212*G212, "")</f>
        <v/>
      </c>
      <c r="I212" s="33" t="str">
        <f aca="false">IF(C212&lt;&gt;"", H212+E212, "")</f>
        <v/>
      </c>
      <c r="K212" s="33" t="str">
        <f aca="false">IF(C212&lt;&gt;"", L212-I212, "")</f>
        <v/>
      </c>
      <c r="L212" s="33" t="str">
        <f aca="false">IF(C212&lt;&gt;"", I212/(1-J212), "")</f>
        <v/>
      </c>
      <c r="M212" s="33" t="str">
        <f aca="false">IF(C212&lt;&gt;"", values!$A$2, "")</f>
        <v/>
      </c>
      <c r="N212" s="33" t="str">
        <f aca="false">IF(C212&lt;&gt;"", O212-L212, "")</f>
        <v/>
      </c>
      <c r="O212" s="33" t="str">
        <f aca="false">IF(C212&lt;&gt;"", L212/(1-M212), "")</f>
        <v/>
      </c>
    </row>
    <row r="213" customFormat="false" ht="12.8" hidden="false" customHeight="false" outlineLevel="0" collapsed="false">
      <c r="A213" s="1" t="s">
        <v>1380</v>
      </c>
      <c r="B213" s="31" t="s">
        <v>1381</v>
      </c>
      <c r="D213" s="32" t="str">
        <f aca="true">IF(C213&lt;&gt;"", SUM(INDEX(INDIRECT("'" &amp; B213 &amp; "'.$A$1:$Z$1000"), 0, MATCH("count", INDIRECT("'" &amp; B213 &amp; "'.$A$1:$Z$1"), 0))), "")</f>
        <v/>
      </c>
      <c r="E213" s="33" t="str">
        <f aca="true">IF(C213&lt;&gt;"", SUM(INDEX(INDIRECT("'" &amp; B213 &amp; "'.$A$1:$Z$1000"), 0, MATCH("cost", INDIRECT("'" &amp; B213 &amp; "'.$A$1:$Z$1"), 0))), "")</f>
        <v/>
      </c>
      <c r="F213" s="40" t="str">
        <f aca="true">IF(C213&lt;&gt;"", SUM(INDEX(INDIRECT("'" &amp; B213 &amp; "'.$A$1:$Z$1000"), 0, MATCH("total_assembly_time_min", INDIRECT("'" &amp; B213 &amp; "'.$A$1:$Z$1"), 0)))/60, "")</f>
        <v/>
      </c>
      <c r="G213" s="33" t="str">
        <f aca="false">IF(C213&lt;&gt;"", values!$B$2, "")</f>
        <v/>
      </c>
      <c r="H213" s="33" t="str">
        <f aca="false">IF(C213&lt;&gt;"", F213*G213, "")</f>
        <v/>
      </c>
      <c r="I213" s="33" t="str">
        <f aca="false">IF(C213&lt;&gt;"", H213+E213, "")</f>
        <v/>
      </c>
      <c r="K213" s="33" t="str">
        <f aca="false">IF(C213&lt;&gt;"", L213-I213, "")</f>
        <v/>
      </c>
      <c r="L213" s="33" t="str">
        <f aca="false">IF(C213&lt;&gt;"", I213/(1-J213), "")</f>
        <v/>
      </c>
      <c r="M213" s="33" t="str">
        <f aca="false">IF(C213&lt;&gt;"", values!$A$2, "")</f>
        <v/>
      </c>
      <c r="N213" s="33" t="str">
        <f aca="false">IF(C213&lt;&gt;"", O213-L213, "")</f>
        <v/>
      </c>
      <c r="O213" s="33" t="str">
        <f aca="false">IF(C213&lt;&gt;"", L213/(1-M213), "")</f>
        <v/>
      </c>
    </row>
    <row r="214" customFormat="false" ht="12.8" hidden="false" customHeight="false" outlineLevel="0" collapsed="false">
      <c r="A214" s="1" t="s">
        <v>1382</v>
      </c>
      <c r="B214" s="31" t="s">
        <v>1383</v>
      </c>
      <c r="D214" s="32" t="str">
        <f aca="true">IF(C214&lt;&gt;"", SUM(INDEX(INDIRECT("'" &amp; B214 &amp; "'.$A$1:$Z$1000"), 0, MATCH("count", INDIRECT("'" &amp; B214 &amp; "'.$A$1:$Z$1"), 0))), "")</f>
        <v/>
      </c>
      <c r="E214" s="33" t="str">
        <f aca="true">IF(C214&lt;&gt;"", SUM(INDEX(INDIRECT("'" &amp; B214 &amp; "'.$A$1:$Z$1000"), 0, MATCH("cost", INDIRECT("'" &amp; B214 &amp; "'.$A$1:$Z$1"), 0))), "")</f>
        <v/>
      </c>
      <c r="F214" s="40" t="str">
        <f aca="true">IF(C214&lt;&gt;"", SUM(INDEX(INDIRECT("'" &amp; B214 &amp; "'.$A$1:$Z$1000"), 0, MATCH("total_assembly_time_min", INDIRECT("'" &amp; B214 &amp; "'.$A$1:$Z$1"), 0)))/60, "")</f>
        <v/>
      </c>
      <c r="G214" s="33" t="str">
        <f aca="false">IF(C214&lt;&gt;"", values!$B$2, "")</f>
        <v/>
      </c>
      <c r="H214" s="33" t="str">
        <f aca="false">IF(C214&lt;&gt;"", F214*G214, "")</f>
        <v/>
      </c>
      <c r="I214" s="33" t="str">
        <f aca="false">IF(C214&lt;&gt;"", H214+E214, "")</f>
        <v/>
      </c>
      <c r="K214" s="33" t="str">
        <f aca="false">IF(C214&lt;&gt;"", L214-I214, "")</f>
        <v/>
      </c>
      <c r="L214" s="33" t="str">
        <f aca="false">IF(C214&lt;&gt;"", I214/(1-J214), "")</f>
        <v/>
      </c>
      <c r="M214" s="33" t="str">
        <f aca="false">IF(C214&lt;&gt;"", values!$A$2, "")</f>
        <v/>
      </c>
      <c r="N214" s="33" t="str">
        <f aca="false">IF(C214&lt;&gt;"", O214-L214, "")</f>
        <v/>
      </c>
      <c r="O214" s="33" t="str">
        <f aca="false">IF(C214&lt;&gt;"", L214/(1-M214), "")</f>
        <v/>
      </c>
    </row>
    <row r="215" customFormat="false" ht="12.8" hidden="false" customHeight="false" outlineLevel="0" collapsed="false">
      <c r="A215" s="1" t="s">
        <v>1384</v>
      </c>
      <c r="B215" s="31" t="s">
        <v>1385</v>
      </c>
      <c r="D215" s="32" t="str">
        <f aca="true">IF(C215&lt;&gt;"", SUM(INDEX(INDIRECT("'" &amp; B215 &amp; "'.$A$1:$Z$1000"), 0, MATCH("count", INDIRECT("'" &amp; B215 &amp; "'.$A$1:$Z$1"), 0))), "")</f>
        <v/>
      </c>
      <c r="E215" s="33" t="str">
        <f aca="true">IF(C215&lt;&gt;"", SUM(INDEX(INDIRECT("'" &amp; B215 &amp; "'.$A$1:$Z$1000"), 0, MATCH("cost", INDIRECT("'" &amp; B215 &amp; "'.$A$1:$Z$1"), 0))), "")</f>
        <v/>
      </c>
      <c r="F215" s="40" t="str">
        <f aca="true">IF(C215&lt;&gt;"", SUM(INDEX(INDIRECT("'" &amp; B215 &amp; "'.$A$1:$Z$1000"), 0, MATCH("total_assembly_time_min", INDIRECT("'" &amp; B215 &amp; "'.$A$1:$Z$1"), 0)))/60, "")</f>
        <v/>
      </c>
      <c r="G215" s="33" t="str">
        <f aca="false">IF(C215&lt;&gt;"", values!$B$2, "")</f>
        <v/>
      </c>
      <c r="H215" s="33" t="str">
        <f aca="false">IF(C215&lt;&gt;"", F215*G215, "")</f>
        <v/>
      </c>
      <c r="I215" s="33" t="str">
        <f aca="false">IF(C215&lt;&gt;"", H215+E215, "")</f>
        <v/>
      </c>
      <c r="K215" s="33" t="str">
        <f aca="false">IF(C215&lt;&gt;"", L215-I215, "")</f>
        <v/>
      </c>
      <c r="L215" s="33" t="str">
        <f aca="false">IF(C215&lt;&gt;"", I215/(1-J215), "")</f>
        <v/>
      </c>
      <c r="M215" s="33" t="str">
        <f aca="false">IF(C215&lt;&gt;"", values!$A$2, "")</f>
        <v/>
      </c>
      <c r="N215" s="33" t="str">
        <f aca="false">IF(C215&lt;&gt;"", O215-L215, "")</f>
        <v/>
      </c>
      <c r="O215" s="33" t="str">
        <f aca="false">IF(C215&lt;&gt;"", L215/(1-M215), "")</f>
        <v/>
      </c>
    </row>
    <row r="216" customFormat="false" ht="12.8" hidden="false" customHeight="false" outlineLevel="0" collapsed="false">
      <c r="A216" s="1" t="s">
        <v>1386</v>
      </c>
      <c r="B216" s="31" t="s">
        <v>1387</v>
      </c>
      <c r="D216" s="32" t="str">
        <f aca="true">IF(C216&lt;&gt;"", SUM(INDEX(INDIRECT("'" &amp; B216 &amp; "'.$A$1:$Z$1000"), 0, MATCH("count", INDIRECT("'" &amp; B216 &amp; "'.$A$1:$Z$1"), 0))), "")</f>
        <v/>
      </c>
      <c r="E216" s="33" t="str">
        <f aca="true">IF(C216&lt;&gt;"", SUM(INDEX(INDIRECT("'" &amp; B216 &amp; "'.$A$1:$Z$1000"), 0, MATCH("cost", INDIRECT("'" &amp; B216 &amp; "'.$A$1:$Z$1"), 0))), "")</f>
        <v/>
      </c>
      <c r="F216" s="40" t="str">
        <f aca="true">IF(C216&lt;&gt;"", SUM(INDEX(INDIRECT("'" &amp; B216 &amp; "'.$A$1:$Z$1000"), 0, MATCH("total_assembly_time_min", INDIRECT("'" &amp; B216 &amp; "'.$A$1:$Z$1"), 0)))/60, "")</f>
        <v/>
      </c>
      <c r="G216" s="33" t="str">
        <f aca="false">IF(C216&lt;&gt;"", values!$B$2, "")</f>
        <v/>
      </c>
      <c r="H216" s="33" t="str">
        <f aca="false">IF(C216&lt;&gt;"", F216*G216, "")</f>
        <v/>
      </c>
      <c r="I216" s="33" t="str">
        <f aca="false">IF(C216&lt;&gt;"", H216+E216, "")</f>
        <v/>
      </c>
      <c r="K216" s="33" t="str">
        <f aca="false">IF(C216&lt;&gt;"", L216-I216, "")</f>
        <v/>
      </c>
      <c r="L216" s="33" t="str">
        <f aca="false">IF(C216&lt;&gt;"", I216/(1-J216), "")</f>
        <v/>
      </c>
      <c r="M216" s="33" t="str">
        <f aca="false">IF(C216&lt;&gt;"", values!$A$2, "")</f>
        <v/>
      </c>
      <c r="N216" s="33" t="str">
        <f aca="false">IF(C216&lt;&gt;"", O216-L216, "")</f>
        <v/>
      </c>
      <c r="O216" s="33" t="str">
        <f aca="false">IF(C216&lt;&gt;"", L216/(1-M216), "")</f>
        <v/>
      </c>
    </row>
    <row r="217" customFormat="false" ht="12.8" hidden="false" customHeight="false" outlineLevel="0" collapsed="false">
      <c r="A217" s="1" t="s">
        <v>1388</v>
      </c>
      <c r="B217" s="31" t="s">
        <v>1389</v>
      </c>
      <c r="D217" s="32" t="str">
        <f aca="true">IF(C217&lt;&gt;"", SUM(INDEX(INDIRECT("'" &amp; B217 &amp; "'.$A$1:$Z$1000"), 0, MATCH("count", INDIRECT("'" &amp; B217 &amp; "'.$A$1:$Z$1"), 0))), "")</f>
        <v/>
      </c>
      <c r="E217" s="33" t="str">
        <f aca="true">IF(C217&lt;&gt;"", SUM(INDEX(INDIRECT("'" &amp; B217 &amp; "'.$A$1:$Z$1000"), 0, MATCH("cost", INDIRECT("'" &amp; B217 &amp; "'.$A$1:$Z$1"), 0))), "")</f>
        <v/>
      </c>
      <c r="F217" s="40" t="str">
        <f aca="true">IF(C217&lt;&gt;"", SUM(INDEX(INDIRECT("'" &amp; B217 &amp; "'.$A$1:$Z$1000"), 0, MATCH("total_assembly_time_min", INDIRECT("'" &amp; B217 &amp; "'.$A$1:$Z$1"), 0)))/60, "")</f>
        <v/>
      </c>
      <c r="G217" s="33" t="str">
        <f aca="false">IF(C217&lt;&gt;"", values!$B$2, "")</f>
        <v/>
      </c>
      <c r="H217" s="33" t="str">
        <f aca="false">IF(C217&lt;&gt;"", F217*G217, "")</f>
        <v/>
      </c>
      <c r="I217" s="33" t="str">
        <f aca="false">IF(C217&lt;&gt;"", H217+E217, "")</f>
        <v/>
      </c>
      <c r="K217" s="33" t="str">
        <f aca="false">IF(C217&lt;&gt;"", L217-I217, "")</f>
        <v/>
      </c>
      <c r="L217" s="33" t="str">
        <f aca="false">IF(C217&lt;&gt;"", I217/(1-J217), "")</f>
        <v/>
      </c>
      <c r="M217" s="33" t="str">
        <f aca="false">IF(C217&lt;&gt;"", values!$A$2, "")</f>
        <v/>
      </c>
      <c r="N217" s="33" t="str">
        <f aca="false">IF(C217&lt;&gt;"", O217-L217, "")</f>
        <v/>
      </c>
      <c r="O217" s="33" t="str">
        <f aca="false">IF(C217&lt;&gt;"", L217/(1-M217), "")</f>
        <v/>
      </c>
    </row>
    <row r="218" customFormat="false" ht="12.8" hidden="false" customHeight="false" outlineLevel="0" collapsed="false">
      <c r="A218" s="1" t="s">
        <v>1390</v>
      </c>
      <c r="B218" s="31" t="s">
        <v>1391</v>
      </c>
      <c r="D218" s="32" t="str">
        <f aca="true">IF(C218&lt;&gt;"", SUM(INDEX(INDIRECT("'" &amp; B218 &amp; "'.$A$1:$Z$1000"), 0, MATCH("count", INDIRECT("'" &amp; B218 &amp; "'.$A$1:$Z$1"), 0))), "")</f>
        <v/>
      </c>
      <c r="E218" s="33" t="str">
        <f aca="true">IF(C218&lt;&gt;"", SUM(INDEX(INDIRECT("'" &amp; B218 &amp; "'.$A$1:$Z$1000"), 0, MATCH("cost", INDIRECT("'" &amp; B218 &amp; "'.$A$1:$Z$1"), 0))), "")</f>
        <v/>
      </c>
      <c r="F218" s="40" t="str">
        <f aca="true">IF(C218&lt;&gt;"", SUM(INDEX(INDIRECT("'" &amp; B218 &amp; "'.$A$1:$Z$1000"), 0, MATCH("total_assembly_time_min", INDIRECT("'" &amp; B218 &amp; "'.$A$1:$Z$1"), 0)))/60, "")</f>
        <v/>
      </c>
      <c r="G218" s="33" t="str">
        <f aca="false">IF(C218&lt;&gt;"", values!$B$2, "")</f>
        <v/>
      </c>
      <c r="H218" s="33" t="str">
        <f aca="false">IF(C218&lt;&gt;"", F218*G218, "")</f>
        <v/>
      </c>
      <c r="I218" s="33" t="str">
        <f aca="false">IF(C218&lt;&gt;"", H218+E218, "")</f>
        <v/>
      </c>
      <c r="K218" s="33" t="str">
        <f aca="false">IF(C218&lt;&gt;"", L218-I218, "")</f>
        <v/>
      </c>
      <c r="L218" s="33" t="str">
        <f aca="false">IF(C218&lt;&gt;"", I218/(1-J218), "")</f>
        <v/>
      </c>
      <c r="M218" s="33" t="str">
        <f aca="false">IF(C218&lt;&gt;"", values!$A$2, "")</f>
        <v/>
      </c>
      <c r="N218" s="33" t="str">
        <f aca="false">IF(C218&lt;&gt;"", O218-L218, "")</f>
        <v/>
      </c>
      <c r="O218" s="33" t="str">
        <f aca="false">IF(C218&lt;&gt;"", L218/(1-M218), "")</f>
        <v/>
      </c>
    </row>
    <row r="219" customFormat="false" ht="12.8" hidden="false" customHeight="false" outlineLevel="0" collapsed="false">
      <c r="A219" s="1" t="s">
        <v>1392</v>
      </c>
      <c r="B219" s="31" t="s">
        <v>1393</v>
      </c>
      <c r="D219" s="32" t="str">
        <f aca="true">IF(C219&lt;&gt;"", SUM(INDEX(INDIRECT("'" &amp; B219 &amp; "'.$A$1:$Z$1000"), 0, MATCH("count", INDIRECT("'" &amp; B219 &amp; "'.$A$1:$Z$1"), 0))), "")</f>
        <v/>
      </c>
      <c r="E219" s="33" t="str">
        <f aca="true">IF(C219&lt;&gt;"", SUM(INDEX(INDIRECT("'" &amp; B219 &amp; "'.$A$1:$Z$1000"), 0, MATCH("cost", INDIRECT("'" &amp; B219 &amp; "'.$A$1:$Z$1"), 0))), "")</f>
        <v/>
      </c>
      <c r="F219" s="40" t="str">
        <f aca="true">IF(C219&lt;&gt;"", SUM(INDEX(INDIRECT("'" &amp; B219 &amp; "'.$A$1:$Z$1000"), 0, MATCH("total_assembly_time_min", INDIRECT("'" &amp; B219 &amp; "'.$A$1:$Z$1"), 0)))/60, "")</f>
        <v/>
      </c>
      <c r="G219" s="33" t="str">
        <f aca="false">IF(C219&lt;&gt;"", values!$B$2, "")</f>
        <v/>
      </c>
      <c r="H219" s="33" t="str">
        <f aca="false">IF(C219&lt;&gt;"", F219*G219, "")</f>
        <v/>
      </c>
      <c r="I219" s="33" t="str">
        <f aca="false">IF(C219&lt;&gt;"", H219+E219, "")</f>
        <v/>
      </c>
      <c r="K219" s="33" t="str">
        <f aca="false">IF(C219&lt;&gt;"", L219-I219, "")</f>
        <v/>
      </c>
      <c r="L219" s="33" t="str">
        <f aca="false">IF(C219&lt;&gt;"", I219/(1-J219), "")</f>
        <v/>
      </c>
      <c r="M219" s="33" t="str">
        <f aca="false">IF(C219&lt;&gt;"", values!$A$2, "")</f>
        <v/>
      </c>
      <c r="N219" s="33" t="str">
        <f aca="false">IF(C219&lt;&gt;"", O219-L219, "")</f>
        <v/>
      </c>
      <c r="O219" s="33" t="str">
        <f aca="false">IF(C219&lt;&gt;"", L219/(1-M219), "")</f>
        <v/>
      </c>
    </row>
    <row r="220" customFormat="false" ht="12.8" hidden="false" customHeight="false" outlineLevel="0" collapsed="false">
      <c r="A220" s="1" t="s">
        <v>1394</v>
      </c>
      <c r="B220" s="31" t="s">
        <v>1395</v>
      </c>
      <c r="D220" s="32" t="str">
        <f aca="true">IF(C220&lt;&gt;"", SUM(INDEX(INDIRECT("'" &amp; B220 &amp; "'.$A$1:$Z$1000"), 0, MATCH("count", INDIRECT("'" &amp; B220 &amp; "'.$A$1:$Z$1"), 0))), "")</f>
        <v/>
      </c>
      <c r="E220" s="33" t="str">
        <f aca="true">IF(C220&lt;&gt;"", SUM(INDEX(INDIRECT("'" &amp; B220 &amp; "'.$A$1:$Z$1000"), 0, MATCH("cost", INDIRECT("'" &amp; B220 &amp; "'.$A$1:$Z$1"), 0))), "")</f>
        <v/>
      </c>
      <c r="F220" s="40" t="str">
        <f aca="true">IF(C220&lt;&gt;"", SUM(INDEX(INDIRECT("'" &amp; B220 &amp; "'.$A$1:$Z$1000"), 0, MATCH("total_assembly_time_min", INDIRECT("'" &amp; B220 &amp; "'.$A$1:$Z$1"), 0)))/60, "")</f>
        <v/>
      </c>
      <c r="G220" s="33" t="str">
        <f aca="false">IF(C220&lt;&gt;"", values!$B$2, "")</f>
        <v/>
      </c>
      <c r="H220" s="33" t="str">
        <f aca="false">IF(C220&lt;&gt;"", F220*G220, "")</f>
        <v/>
      </c>
      <c r="I220" s="33" t="str">
        <f aca="false">IF(C220&lt;&gt;"", H220+E220, "")</f>
        <v/>
      </c>
      <c r="K220" s="33" t="str">
        <f aca="false">IF(C220&lt;&gt;"", L220-I220, "")</f>
        <v/>
      </c>
      <c r="L220" s="33" t="str">
        <f aca="false">IF(C220&lt;&gt;"", I220/(1-J220), "")</f>
        <v/>
      </c>
      <c r="M220" s="33" t="str">
        <f aca="false">IF(C220&lt;&gt;"", values!$A$2, "")</f>
        <v/>
      </c>
      <c r="N220" s="33" t="str">
        <f aca="false">IF(C220&lt;&gt;"", O220-L220, "")</f>
        <v/>
      </c>
      <c r="O220" s="33" t="str">
        <f aca="false">IF(C220&lt;&gt;"", L220/(1-M220), "")</f>
        <v/>
      </c>
    </row>
    <row r="221" customFormat="false" ht="12.8" hidden="false" customHeight="false" outlineLevel="0" collapsed="false">
      <c r="A221" s="1" t="s">
        <v>1396</v>
      </c>
      <c r="B221" s="31" t="s">
        <v>1397</v>
      </c>
      <c r="D221" s="32" t="str">
        <f aca="true">IF(C221&lt;&gt;"", SUM(INDEX(INDIRECT("'" &amp; B221 &amp; "'.$A$1:$Z$1000"), 0, MATCH("count", INDIRECT("'" &amp; B221 &amp; "'.$A$1:$Z$1"), 0))), "")</f>
        <v/>
      </c>
      <c r="E221" s="33" t="str">
        <f aca="true">IF(C221&lt;&gt;"", SUM(INDEX(INDIRECT("'" &amp; B221 &amp; "'.$A$1:$Z$1000"), 0, MATCH("cost", INDIRECT("'" &amp; B221 &amp; "'.$A$1:$Z$1"), 0))), "")</f>
        <v/>
      </c>
      <c r="F221" s="40" t="str">
        <f aca="true">IF(C221&lt;&gt;"", SUM(INDEX(INDIRECT("'" &amp; B221 &amp; "'.$A$1:$Z$1000"), 0, MATCH("total_assembly_time_min", INDIRECT("'" &amp; B221 &amp; "'.$A$1:$Z$1"), 0)))/60, "")</f>
        <v/>
      </c>
      <c r="G221" s="33" t="str">
        <f aca="false">IF(C221&lt;&gt;"", values!$B$2, "")</f>
        <v/>
      </c>
      <c r="H221" s="33" t="str">
        <f aca="false">IF(C221&lt;&gt;"", F221*G221, "")</f>
        <v/>
      </c>
      <c r="I221" s="33" t="str">
        <f aca="false">IF(C221&lt;&gt;"", H221+E221, "")</f>
        <v/>
      </c>
      <c r="K221" s="33" t="str">
        <f aca="false">IF(C221&lt;&gt;"", L221-I221, "")</f>
        <v/>
      </c>
      <c r="L221" s="33" t="str">
        <f aca="false">IF(C221&lt;&gt;"", I221/(1-J221), "")</f>
        <v/>
      </c>
      <c r="M221" s="33" t="str">
        <f aca="false">IF(C221&lt;&gt;"", values!$A$2, "")</f>
        <v/>
      </c>
      <c r="N221" s="33" t="str">
        <f aca="false">IF(C221&lt;&gt;"", O221-L221, "")</f>
        <v/>
      </c>
      <c r="O221" s="33" t="str">
        <f aca="false">IF(C221&lt;&gt;"", L221/(1-M221), "")</f>
        <v/>
      </c>
    </row>
    <row r="222" customFormat="false" ht="12.8" hidden="false" customHeight="false" outlineLevel="0" collapsed="false">
      <c r="A222" s="1" t="s">
        <v>1398</v>
      </c>
      <c r="B222" s="31" t="s">
        <v>1399</v>
      </c>
      <c r="D222" s="32" t="str">
        <f aca="true">IF(C222&lt;&gt;"", SUM(INDEX(INDIRECT("'" &amp; B222 &amp; "'.$A$1:$Z$1000"), 0, MATCH("count", INDIRECT("'" &amp; B222 &amp; "'.$A$1:$Z$1"), 0))), "")</f>
        <v/>
      </c>
      <c r="E222" s="33" t="str">
        <f aca="true">IF(C222&lt;&gt;"", SUM(INDEX(INDIRECT("'" &amp; B222 &amp; "'.$A$1:$Z$1000"), 0, MATCH("cost", INDIRECT("'" &amp; B222 &amp; "'.$A$1:$Z$1"), 0))), "")</f>
        <v/>
      </c>
      <c r="F222" s="40" t="str">
        <f aca="true">IF(C222&lt;&gt;"", SUM(INDEX(INDIRECT("'" &amp; B222 &amp; "'.$A$1:$Z$1000"), 0, MATCH("total_assembly_time_min", INDIRECT("'" &amp; B222 &amp; "'.$A$1:$Z$1"), 0)))/60, "")</f>
        <v/>
      </c>
      <c r="G222" s="33" t="str">
        <f aca="false">IF(C222&lt;&gt;"", values!$B$2, "")</f>
        <v/>
      </c>
      <c r="H222" s="33" t="str">
        <f aca="false">IF(C222&lt;&gt;"", F222*G222, "")</f>
        <v/>
      </c>
      <c r="I222" s="33" t="str">
        <f aca="false">IF(C222&lt;&gt;"", H222+E222, "")</f>
        <v/>
      </c>
      <c r="K222" s="33" t="str">
        <f aca="false">IF(C222&lt;&gt;"", L222-I222, "")</f>
        <v/>
      </c>
      <c r="L222" s="33" t="str">
        <f aca="false">IF(C222&lt;&gt;"", I222/(1-J222), "")</f>
        <v/>
      </c>
      <c r="M222" s="33" t="str">
        <f aca="false">IF(C222&lt;&gt;"", values!$A$2, "")</f>
        <v/>
      </c>
      <c r="N222" s="33" t="str">
        <f aca="false">IF(C222&lt;&gt;"", O222-L222, "")</f>
        <v/>
      </c>
      <c r="O222" s="33" t="str">
        <f aca="false">IF(C222&lt;&gt;"", L222/(1-M222), "")</f>
        <v/>
      </c>
    </row>
    <row r="223" customFormat="false" ht="12.8" hidden="false" customHeight="false" outlineLevel="0" collapsed="false">
      <c r="A223" s="1" t="s">
        <v>1400</v>
      </c>
      <c r="B223" s="31" t="s">
        <v>1401</v>
      </c>
      <c r="D223" s="32" t="str">
        <f aca="true">IF(C223&lt;&gt;"", SUM(INDEX(INDIRECT("'" &amp; B223 &amp; "'.$A$1:$Z$1000"), 0, MATCH("count", INDIRECT("'" &amp; B223 &amp; "'.$A$1:$Z$1"), 0))), "")</f>
        <v/>
      </c>
      <c r="E223" s="33" t="str">
        <f aca="true">IF(C223&lt;&gt;"", SUM(INDEX(INDIRECT("'" &amp; B223 &amp; "'.$A$1:$Z$1000"), 0, MATCH("cost", INDIRECT("'" &amp; B223 &amp; "'.$A$1:$Z$1"), 0))), "")</f>
        <v/>
      </c>
      <c r="F223" s="40" t="str">
        <f aca="true">IF(C223&lt;&gt;"", SUM(INDEX(INDIRECT("'" &amp; B223 &amp; "'.$A$1:$Z$1000"), 0, MATCH("total_assembly_time_min", INDIRECT("'" &amp; B223 &amp; "'.$A$1:$Z$1"), 0)))/60, "")</f>
        <v/>
      </c>
      <c r="G223" s="33" t="str">
        <f aca="false">IF(C223&lt;&gt;"", values!$B$2, "")</f>
        <v/>
      </c>
      <c r="H223" s="33" t="str">
        <f aca="false">IF(C223&lt;&gt;"", F223*G223, "")</f>
        <v/>
      </c>
      <c r="I223" s="33" t="str">
        <f aca="false">IF(C223&lt;&gt;"", H223+E223, "")</f>
        <v/>
      </c>
      <c r="K223" s="33" t="str">
        <f aca="false">IF(C223&lt;&gt;"", L223-I223, "")</f>
        <v/>
      </c>
      <c r="L223" s="33" t="str">
        <f aca="false">IF(C223&lt;&gt;"", I223/(1-J223), "")</f>
        <v/>
      </c>
      <c r="M223" s="33" t="str">
        <f aca="false">IF(C223&lt;&gt;"", values!$A$2, "")</f>
        <v/>
      </c>
      <c r="N223" s="33" t="str">
        <f aca="false">IF(C223&lt;&gt;"", O223-L223, "")</f>
        <v/>
      </c>
      <c r="O223" s="33" t="str">
        <f aca="false">IF(C223&lt;&gt;"", L223/(1-M223), "")</f>
        <v/>
      </c>
    </row>
    <row r="224" customFormat="false" ht="12.8" hidden="false" customHeight="false" outlineLevel="0" collapsed="false">
      <c r="A224" s="1" t="s">
        <v>1402</v>
      </c>
      <c r="B224" s="31" t="s">
        <v>1403</v>
      </c>
      <c r="D224" s="32" t="str">
        <f aca="true">IF(C224&lt;&gt;"", SUM(INDEX(INDIRECT("'" &amp; B224 &amp; "'.$A$1:$Z$1000"), 0, MATCH("count", INDIRECT("'" &amp; B224 &amp; "'.$A$1:$Z$1"), 0))), "")</f>
        <v/>
      </c>
      <c r="E224" s="33" t="str">
        <f aca="true">IF(C224&lt;&gt;"", SUM(INDEX(INDIRECT("'" &amp; B224 &amp; "'.$A$1:$Z$1000"), 0, MATCH("cost", INDIRECT("'" &amp; B224 &amp; "'.$A$1:$Z$1"), 0))), "")</f>
        <v/>
      </c>
      <c r="F224" s="40" t="str">
        <f aca="true">IF(C224&lt;&gt;"", SUM(INDEX(INDIRECT("'" &amp; B224 &amp; "'.$A$1:$Z$1000"), 0, MATCH("total_assembly_time_min", INDIRECT("'" &amp; B224 &amp; "'.$A$1:$Z$1"), 0)))/60, "")</f>
        <v/>
      </c>
      <c r="G224" s="33" t="str">
        <f aca="false">IF(C224&lt;&gt;"", values!$B$2, "")</f>
        <v/>
      </c>
      <c r="H224" s="33" t="str">
        <f aca="false">IF(C224&lt;&gt;"", F224*G224, "")</f>
        <v/>
      </c>
      <c r="I224" s="33" t="str">
        <f aca="false">IF(C224&lt;&gt;"", H224+E224, "")</f>
        <v/>
      </c>
      <c r="K224" s="33" t="str">
        <f aca="false">IF(C224&lt;&gt;"", L224-I224, "")</f>
        <v/>
      </c>
      <c r="L224" s="33" t="str">
        <f aca="false">IF(C224&lt;&gt;"", I224/(1-J224), "")</f>
        <v/>
      </c>
      <c r="M224" s="33" t="str">
        <f aca="false">IF(C224&lt;&gt;"", values!$A$2, "")</f>
        <v/>
      </c>
      <c r="N224" s="33" t="str">
        <f aca="false">IF(C224&lt;&gt;"", O224-L224, "")</f>
        <v/>
      </c>
      <c r="O224" s="33" t="str">
        <f aca="false">IF(C224&lt;&gt;"", L224/(1-M224), "")</f>
        <v/>
      </c>
    </row>
    <row r="225" customFormat="false" ht="12.8" hidden="false" customHeight="false" outlineLevel="0" collapsed="false">
      <c r="A225" s="1" t="s">
        <v>1404</v>
      </c>
      <c r="B225" s="31" t="s">
        <v>1405</v>
      </c>
      <c r="D225" s="32" t="str">
        <f aca="true">IF(C225&lt;&gt;"", SUM(INDEX(INDIRECT("'" &amp; B225 &amp; "'.$A$1:$Z$1000"), 0, MATCH("count", INDIRECT("'" &amp; B225 &amp; "'.$A$1:$Z$1"), 0))), "")</f>
        <v/>
      </c>
      <c r="E225" s="33" t="str">
        <f aca="true">IF(C225&lt;&gt;"", SUM(INDEX(INDIRECT("'" &amp; B225 &amp; "'.$A$1:$Z$1000"), 0, MATCH("cost", INDIRECT("'" &amp; B225 &amp; "'.$A$1:$Z$1"), 0))), "")</f>
        <v/>
      </c>
      <c r="F225" s="40" t="str">
        <f aca="true">IF(C225&lt;&gt;"", SUM(INDEX(INDIRECT("'" &amp; B225 &amp; "'.$A$1:$Z$1000"), 0, MATCH("total_assembly_time_min", INDIRECT("'" &amp; B225 &amp; "'.$A$1:$Z$1"), 0)))/60, "")</f>
        <v/>
      </c>
      <c r="G225" s="33" t="str">
        <f aca="false">IF(C225&lt;&gt;"", values!$B$2, "")</f>
        <v/>
      </c>
      <c r="H225" s="33" t="str">
        <f aca="false">IF(C225&lt;&gt;"", F225*G225, "")</f>
        <v/>
      </c>
      <c r="I225" s="33" t="str">
        <f aca="false">IF(C225&lt;&gt;"", H225+E225, "")</f>
        <v/>
      </c>
      <c r="K225" s="33" t="str">
        <f aca="false">IF(C225&lt;&gt;"", L225-I225, "")</f>
        <v/>
      </c>
      <c r="L225" s="33" t="str">
        <f aca="false">IF(C225&lt;&gt;"", I225/(1-J225), "")</f>
        <v/>
      </c>
      <c r="M225" s="33" t="str">
        <f aca="false">IF(C225&lt;&gt;"", values!$A$2, "")</f>
        <v/>
      </c>
      <c r="N225" s="33" t="str">
        <f aca="false">IF(C225&lt;&gt;"", O225-L225, "")</f>
        <v/>
      </c>
      <c r="O225" s="33" t="str">
        <f aca="false">IF(C225&lt;&gt;"", L225/(1-M225), "")</f>
        <v/>
      </c>
    </row>
    <row r="226" customFormat="false" ht="12.8" hidden="false" customHeight="false" outlineLevel="0" collapsed="false">
      <c r="A226" s="1" t="s">
        <v>1406</v>
      </c>
      <c r="B226" s="31" t="s">
        <v>1407</v>
      </c>
      <c r="D226" s="32" t="str">
        <f aca="true">IF(C226&lt;&gt;"", SUM(INDEX(INDIRECT("'" &amp; B226 &amp; "'.$A$1:$Z$1000"), 0, MATCH("count", INDIRECT("'" &amp; B226 &amp; "'.$A$1:$Z$1"), 0))), "")</f>
        <v/>
      </c>
      <c r="E226" s="33" t="str">
        <f aca="true">IF(C226&lt;&gt;"", SUM(INDEX(INDIRECT("'" &amp; B226 &amp; "'.$A$1:$Z$1000"), 0, MATCH("cost", INDIRECT("'" &amp; B226 &amp; "'.$A$1:$Z$1"), 0))), "")</f>
        <v/>
      </c>
      <c r="F226" s="40" t="str">
        <f aca="true">IF(C226&lt;&gt;"", SUM(INDEX(INDIRECT("'" &amp; B226 &amp; "'.$A$1:$Z$1000"), 0, MATCH("total_assembly_time_min", INDIRECT("'" &amp; B226 &amp; "'.$A$1:$Z$1"), 0)))/60, "")</f>
        <v/>
      </c>
      <c r="G226" s="33" t="str">
        <f aca="false">IF(C226&lt;&gt;"", values!$B$2, "")</f>
        <v/>
      </c>
      <c r="H226" s="33" t="str">
        <f aca="false">IF(C226&lt;&gt;"", F226*G226, "")</f>
        <v/>
      </c>
      <c r="I226" s="33" t="str">
        <f aca="false">IF(C226&lt;&gt;"", H226+E226, "")</f>
        <v/>
      </c>
      <c r="K226" s="33" t="str">
        <f aca="false">IF(C226&lt;&gt;"", L226-I226, "")</f>
        <v/>
      </c>
      <c r="L226" s="33" t="str">
        <f aca="false">IF(C226&lt;&gt;"", I226/(1-J226), "")</f>
        <v/>
      </c>
      <c r="M226" s="33" t="str">
        <f aca="false">IF(C226&lt;&gt;"", values!$A$2, "")</f>
        <v/>
      </c>
      <c r="N226" s="33" t="str">
        <f aca="false">IF(C226&lt;&gt;"", O226-L226, "")</f>
        <v/>
      </c>
      <c r="O226" s="33" t="str">
        <f aca="false">IF(C226&lt;&gt;"", L226/(1-M226), "")</f>
        <v/>
      </c>
    </row>
    <row r="227" customFormat="false" ht="12.8" hidden="false" customHeight="false" outlineLevel="0" collapsed="false">
      <c r="A227" s="1" t="s">
        <v>1408</v>
      </c>
      <c r="B227" s="31" t="s">
        <v>1409</v>
      </c>
      <c r="D227" s="32" t="str">
        <f aca="true">IF(C227&lt;&gt;"", SUM(INDEX(INDIRECT("'" &amp; B227 &amp; "'.$A$1:$Z$1000"), 0, MATCH("count", INDIRECT("'" &amp; B227 &amp; "'.$A$1:$Z$1"), 0))), "")</f>
        <v/>
      </c>
      <c r="E227" s="33" t="str">
        <f aca="true">IF(C227&lt;&gt;"", SUM(INDEX(INDIRECT("'" &amp; B227 &amp; "'.$A$1:$Z$1000"), 0, MATCH("cost", INDIRECT("'" &amp; B227 &amp; "'.$A$1:$Z$1"), 0))), "")</f>
        <v/>
      </c>
      <c r="F227" s="40" t="str">
        <f aca="true">IF(C227&lt;&gt;"", SUM(INDEX(INDIRECT("'" &amp; B227 &amp; "'.$A$1:$Z$1000"), 0, MATCH("total_assembly_time_min", INDIRECT("'" &amp; B227 &amp; "'.$A$1:$Z$1"), 0)))/60, "")</f>
        <v/>
      </c>
      <c r="G227" s="33" t="str">
        <f aca="false">IF(C227&lt;&gt;"", values!$B$2, "")</f>
        <v/>
      </c>
      <c r="H227" s="33" t="str">
        <f aca="false">IF(C227&lt;&gt;"", F227*G227, "")</f>
        <v/>
      </c>
      <c r="I227" s="33" t="str">
        <f aca="false">IF(C227&lt;&gt;"", H227+E227, "")</f>
        <v/>
      </c>
      <c r="K227" s="33" t="str">
        <f aca="false">IF(C227&lt;&gt;"", L227-I227, "")</f>
        <v/>
      </c>
      <c r="L227" s="33" t="str">
        <f aca="false">IF(C227&lt;&gt;"", I227/(1-J227), "")</f>
        <v/>
      </c>
      <c r="M227" s="33" t="str">
        <f aca="false">IF(C227&lt;&gt;"", values!$A$2, "")</f>
        <v/>
      </c>
      <c r="N227" s="33" t="str">
        <f aca="false">IF(C227&lt;&gt;"", O227-L227, "")</f>
        <v/>
      </c>
      <c r="O227" s="33" t="str">
        <f aca="false">IF(C227&lt;&gt;"", L227/(1-M227), "")</f>
        <v/>
      </c>
    </row>
    <row r="228" customFormat="false" ht="12.8" hidden="false" customHeight="false" outlineLevel="0" collapsed="false">
      <c r="A228" s="1" t="s">
        <v>1410</v>
      </c>
      <c r="B228" s="31" t="s">
        <v>1411</v>
      </c>
      <c r="D228" s="32" t="str">
        <f aca="true">IF(C228&lt;&gt;"", SUM(INDEX(INDIRECT("'" &amp; B228 &amp; "'.$A$1:$Z$1000"), 0, MATCH("count", INDIRECT("'" &amp; B228 &amp; "'.$A$1:$Z$1"), 0))), "")</f>
        <v/>
      </c>
      <c r="E228" s="33" t="str">
        <f aca="true">IF(C228&lt;&gt;"", SUM(INDEX(INDIRECT("'" &amp; B228 &amp; "'.$A$1:$Z$1000"), 0, MATCH("cost", INDIRECT("'" &amp; B228 &amp; "'.$A$1:$Z$1"), 0))), "")</f>
        <v/>
      </c>
      <c r="F228" s="40" t="str">
        <f aca="true">IF(C228&lt;&gt;"", SUM(INDEX(INDIRECT("'" &amp; B228 &amp; "'.$A$1:$Z$1000"), 0, MATCH("total_assembly_time_min", INDIRECT("'" &amp; B228 &amp; "'.$A$1:$Z$1"), 0)))/60, "")</f>
        <v/>
      </c>
      <c r="G228" s="33" t="str">
        <f aca="false">IF(C228&lt;&gt;"", values!$B$2, "")</f>
        <v/>
      </c>
      <c r="H228" s="33" t="str">
        <f aca="false">IF(C228&lt;&gt;"", F228*G228, "")</f>
        <v/>
      </c>
      <c r="I228" s="33" t="str">
        <f aca="false">IF(C228&lt;&gt;"", H228+E228, "")</f>
        <v/>
      </c>
      <c r="K228" s="33" t="str">
        <f aca="false">IF(C228&lt;&gt;"", L228-I228, "")</f>
        <v/>
      </c>
      <c r="L228" s="33" t="str">
        <f aca="false">IF(C228&lt;&gt;"", I228/(1-J228), "")</f>
        <v/>
      </c>
      <c r="M228" s="33" t="str">
        <f aca="false">IF(C228&lt;&gt;"", values!$A$2, "")</f>
        <v/>
      </c>
      <c r="N228" s="33" t="str">
        <f aca="false">IF(C228&lt;&gt;"", O228-L228, "")</f>
        <v/>
      </c>
      <c r="O228" s="33" t="str">
        <f aca="false">IF(C228&lt;&gt;"", L228/(1-M228), "")</f>
        <v/>
      </c>
    </row>
    <row r="229" customFormat="false" ht="12.8" hidden="false" customHeight="false" outlineLevel="0" collapsed="false">
      <c r="A229" s="1" t="s">
        <v>1412</v>
      </c>
      <c r="B229" s="31" t="s">
        <v>1413</v>
      </c>
      <c r="D229" s="32" t="str">
        <f aca="true">IF(C229&lt;&gt;"", SUM(INDEX(INDIRECT("'" &amp; B229 &amp; "'.$A$1:$Z$1000"), 0, MATCH("count", INDIRECT("'" &amp; B229 &amp; "'.$A$1:$Z$1"), 0))), "")</f>
        <v/>
      </c>
      <c r="E229" s="33" t="str">
        <f aca="true">IF(C229&lt;&gt;"", SUM(INDEX(INDIRECT("'" &amp; B229 &amp; "'.$A$1:$Z$1000"), 0, MATCH("cost", INDIRECT("'" &amp; B229 &amp; "'.$A$1:$Z$1"), 0))), "")</f>
        <v/>
      </c>
      <c r="F229" s="40" t="str">
        <f aca="true">IF(C229&lt;&gt;"", SUM(INDEX(INDIRECT("'" &amp; B229 &amp; "'.$A$1:$Z$1000"), 0, MATCH("total_assembly_time_min", INDIRECT("'" &amp; B229 &amp; "'.$A$1:$Z$1"), 0)))/60, "")</f>
        <v/>
      </c>
      <c r="G229" s="33" t="str">
        <f aca="false">IF(C229&lt;&gt;"", values!$B$2, "")</f>
        <v/>
      </c>
      <c r="H229" s="33" t="str">
        <f aca="false">IF(C229&lt;&gt;"", F229*G229, "")</f>
        <v/>
      </c>
      <c r="I229" s="33" t="str">
        <f aca="false">IF(C229&lt;&gt;"", H229+E229, "")</f>
        <v/>
      </c>
      <c r="K229" s="33" t="str">
        <f aca="false">IF(C229&lt;&gt;"", L229-I229, "")</f>
        <v/>
      </c>
      <c r="L229" s="33" t="str">
        <f aca="false">IF(C229&lt;&gt;"", I229/(1-J229), "")</f>
        <v/>
      </c>
      <c r="M229" s="33" t="str">
        <f aca="false">IF(C229&lt;&gt;"", values!$A$2, "")</f>
        <v/>
      </c>
      <c r="N229" s="33" t="str">
        <f aca="false">IF(C229&lt;&gt;"", O229-L229, "")</f>
        <v/>
      </c>
      <c r="O229" s="33" t="str">
        <f aca="false">IF(C229&lt;&gt;"", L229/(1-M229), "")</f>
        <v/>
      </c>
    </row>
    <row r="230" customFormat="false" ht="12.8" hidden="false" customHeight="false" outlineLevel="0" collapsed="false">
      <c r="A230" s="1" t="s">
        <v>1414</v>
      </c>
      <c r="B230" s="31" t="s">
        <v>1415</v>
      </c>
      <c r="D230" s="32" t="str">
        <f aca="true">IF(C230&lt;&gt;"", SUM(INDEX(INDIRECT("'" &amp; B230 &amp; "'.$A$1:$Z$1000"), 0, MATCH("count", INDIRECT("'" &amp; B230 &amp; "'.$A$1:$Z$1"), 0))), "")</f>
        <v/>
      </c>
      <c r="E230" s="33" t="str">
        <f aca="true">IF(C230&lt;&gt;"", SUM(INDEX(INDIRECT("'" &amp; B230 &amp; "'.$A$1:$Z$1000"), 0, MATCH("cost", INDIRECT("'" &amp; B230 &amp; "'.$A$1:$Z$1"), 0))), "")</f>
        <v/>
      </c>
      <c r="F230" s="40" t="str">
        <f aca="true">IF(C230&lt;&gt;"", SUM(INDEX(INDIRECT("'" &amp; B230 &amp; "'.$A$1:$Z$1000"), 0, MATCH("total_assembly_time_min", INDIRECT("'" &amp; B230 &amp; "'.$A$1:$Z$1"), 0)))/60, "")</f>
        <v/>
      </c>
      <c r="G230" s="33" t="str">
        <f aca="false">IF(C230&lt;&gt;"", values!$B$2, "")</f>
        <v/>
      </c>
      <c r="H230" s="33" t="str">
        <f aca="false">IF(C230&lt;&gt;"", F230*G230, "")</f>
        <v/>
      </c>
      <c r="I230" s="33" t="str">
        <f aca="false">IF(C230&lt;&gt;"", H230+E230, "")</f>
        <v/>
      </c>
      <c r="K230" s="33" t="str">
        <f aca="false">IF(C230&lt;&gt;"", L230-I230, "")</f>
        <v/>
      </c>
      <c r="L230" s="33" t="str">
        <f aca="false">IF(C230&lt;&gt;"", I230/(1-J230), "")</f>
        <v/>
      </c>
      <c r="M230" s="33" t="str">
        <f aca="false">IF(C230&lt;&gt;"", values!$A$2, "")</f>
        <v/>
      </c>
      <c r="N230" s="33" t="str">
        <f aca="false">IF(C230&lt;&gt;"", O230-L230, "")</f>
        <v/>
      </c>
      <c r="O230" s="33" t="str">
        <f aca="false">IF(C230&lt;&gt;"", L230/(1-M230), "")</f>
        <v/>
      </c>
    </row>
    <row r="231" customFormat="false" ht="12.8" hidden="false" customHeight="false" outlineLevel="0" collapsed="false">
      <c r="A231" s="1" t="s">
        <v>1416</v>
      </c>
      <c r="B231" s="31" t="s">
        <v>1417</v>
      </c>
      <c r="D231" s="32" t="str">
        <f aca="true">IF(C231&lt;&gt;"", SUM(INDEX(INDIRECT("'" &amp; B231 &amp; "'.$A$1:$Z$1000"), 0, MATCH("count", INDIRECT("'" &amp; B231 &amp; "'.$A$1:$Z$1"), 0))), "")</f>
        <v/>
      </c>
      <c r="E231" s="33" t="str">
        <f aca="true">IF(C231&lt;&gt;"", SUM(INDEX(INDIRECT("'" &amp; B231 &amp; "'.$A$1:$Z$1000"), 0, MATCH("cost", INDIRECT("'" &amp; B231 &amp; "'.$A$1:$Z$1"), 0))), "")</f>
        <v/>
      </c>
      <c r="F231" s="40" t="str">
        <f aca="true">IF(C231&lt;&gt;"", SUM(INDEX(INDIRECT("'" &amp; B231 &amp; "'.$A$1:$Z$1000"), 0, MATCH("total_assembly_time_min", INDIRECT("'" &amp; B231 &amp; "'.$A$1:$Z$1"), 0)))/60, "")</f>
        <v/>
      </c>
      <c r="G231" s="33" t="str">
        <f aca="false">IF(C231&lt;&gt;"", values!$B$2, "")</f>
        <v/>
      </c>
      <c r="H231" s="33" t="str">
        <f aca="false">IF(C231&lt;&gt;"", F231*G231, "")</f>
        <v/>
      </c>
      <c r="I231" s="33" t="str">
        <f aca="false">IF(C231&lt;&gt;"", H231+E231, "")</f>
        <v/>
      </c>
      <c r="K231" s="33" t="str">
        <f aca="false">IF(C231&lt;&gt;"", L231-I231, "")</f>
        <v/>
      </c>
      <c r="L231" s="33" t="str">
        <f aca="false">IF(C231&lt;&gt;"", I231/(1-J231), "")</f>
        <v/>
      </c>
      <c r="M231" s="33" t="str">
        <f aca="false">IF(C231&lt;&gt;"", values!$A$2, "")</f>
        <v/>
      </c>
      <c r="N231" s="33" t="str">
        <f aca="false">IF(C231&lt;&gt;"", O231-L231, "")</f>
        <v/>
      </c>
      <c r="O231" s="33" t="str">
        <f aca="false">IF(C231&lt;&gt;"", L231/(1-M231), "")</f>
        <v/>
      </c>
    </row>
    <row r="232" customFormat="false" ht="12.8" hidden="false" customHeight="false" outlineLevel="0" collapsed="false">
      <c r="A232" s="1" t="s">
        <v>1418</v>
      </c>
      <c r="B232" s="31" t="s">
        <v>1419</v>
      </c>
      <c r="D232" s="32" t="str">
        <f aca="true">IF(C232&lt;&gt;"", SUM(INDEX(INDIRECT("'" &amp; B232 &amp; "'.$A$1:$Z$1000"), 0, MATCH("count", INDIRECT("'" &amp; B232 &amp; "'.$A$1:$Z$1"), 0))), "")</f>
        <v/>
      </c>
      <c r="E232" s="33" t="str">
        <f aca="true">IF(C232&lt;&gt;"", SUM(INDEX(INDIRECT("'" &amp; B232 &amp; "'.$A$1:$Z$1000"), 0, MATCH("cost", INDIRECT("'" &amp; B232 &amp; "'.$A$1:$Z$1"), 0))), "")</f>
        <v/>
      </c>
      <c r="F232" s="40" t="str">
        <f aca="true">IF(C232&lt;&gt;"", SUM(INDEX(INDIRECT("'" &amp; B232 &amp; "'.$A$1:$Z$1000"), 0, MATCH("total_assembly_time_min", INDIRECT("'" &amp; B232 &amp; "'.$A$1:$Z$1"), 0)))/60, "")</f>
        <v/>
      </c>
      <c r="G232" s="33" t="str">
        <f aca="false">IF(C232&lt;&gt;"", values!$B$2, "")</f>
        <v/>
      </c>
      <c r="H232" s="33" t="str">
        <f aca="false">IF(C232&lt;&gt;"", F232*G232, "")</f>
        <v/>
      </c>
      <c r="I232" s="33" t="str">
        <f aca="false">IF(C232&lt;&gt;"", H232+E232, "")</f>
        <v/>
      </c>
      <c r="K232" s="33" t="str">
        <f aca="false">IF(C232&lt;&gt;"", L232-I232, "")</f>
        <v/>
      </c>
      <c r="L232" s="33" t="str">
        <f aca="false">IF(C232&lt;&gt;"", I232/(1-J232), "")</f>
        <v/>
      </c>
      <c r="M232" s="33" t="str">
        <f aca="false">IF(C232&lt;&gt;"", values!$A$2, "")</f>
        <v/>
      </c>
      <c r="N232" s="33" t="str">
        <f aca="false">IF(C232&lt;&gt;"", O232-L232, "")</f>
        <v/>
      </c>
      <c r="O232" s="33" t="str">
        <f aca="false">IF(C232&lt;&gt;"", L232/(1-M232), "")</f>
        <v/>
      </c>
    </row>
    <row r="233" customFormat="false" ht="12.8" hidden="false" customHeight="false" outlineLevel="0" collapsed="false">
      <c r="A233" s="1" t="s">
        <v>1420</v>
      </c>
      <c r="B233" s="31" t="s">
        <v>1421</v>
      </c>
      <c r="D233" s="32" t="str">
        <f aca="true">IF(C233&lt;&gt;"", SUM(INDEX(INDIRECT("'" &amp; B233 &amp; "'.$A$1:$Z$1000"), 0, MATCH("count", INDIRECT("'" &amp; B233 &amp; "'.$A$1:$Z$1"), 0))), "")</f>
        <v/>
      </c>
      <c r="E233" s="33" t="str">
        <f aca="true">IF(C233&lt;&gt;"", SUM(INDEX(INDIRECT("'" &amp; B233 &amp; "'.$A$1:$Z$1000"), 0, MATCH("cost", INDIRECT("'" &amp; B233 &amp; "'.$A$1:$Z$1"), 0))), "")</f>
        <v/>
      </c>
      <c r="F233" s="40" t="str">
        <f aca="true">IF(C233&lt;&gt;"", SUM(INDEX(INDIRECT("'" &amp; B233 &amp; "'.$A$1:$Z$1000"), 0, MATCH("total_assembly_time_min", INDIRECT("'" &amp; B233 &amp; "'.$A$1:$Z$1"), 0)))/60, "")</f>
        <v/>
      </c>
      <c r="G233" s="33" t="str">
        <f aca="false">IF(C233&lt;&gt;"", values!$B$2, "")</f>
        <v/>
      </c>
      <c r="H233" s="33" t="str">
        <f aca="false">IF(C233&lt;&gt;"", F233*G233, "")</f>
        <v/>
      </c>
      <c r="I233" s="33" t="str">
        <f aca="false">IF(C233&lt;&gt;"", H233+E233, "")</f>
        <v/>
      </c>
      <c r="K233" s="33" t="str">
        <f aca="false">IF(C233&lt;&gt;"", L233-I233, "")</f>
        <v/>
      </c>
      <c r="L233" s="33" t="str">
        <f aca="false">IF(C233&lt;&gt;"", I233/(1-J233), "")</f>
        <v/>
      </c>
      <c r="M233" s="33" t="str">
        <f aca="false">IF(C233&lt;&gt;"", values!$A$2, "")</f>
        <v/>
      </c>
      <c r="N233" s="33" t="str">
        <f aca="false">IF(C233&lt;&gt;"", O233-L233, "")</f>
        <v/>
      </c>
      <c r="O233" s="33" t="str">
        <f aca="false">IF(C233&lt;&gt;"", L233/(1-M233), "")</f>
        <v/>
      </c>
    </row>
    <row r="234" customFormat="false" ht="12.8" hidden="false" customHeight="false" outlineLevel="0" collapsed="false">
      <c r="A234" s="1" t="s">
        <v>1422</v>
      </c>
      <c r="B234" s="31" t="s">
        <v>1423</v>
      </c>
      <c r="D234" s="32" t="str">
        <f aca="true">IF(C234&lt;&gt;"", SUM(INDEX(INDIRECT("'" &amp; B234 &amp; "'.$A$1:$Z$1000"), 0, MATCH("count", INDIRECT("'" &amp; B234 &amp; "'.$A$1:$Z$1"), 0))), "")</f>
        <v/>
      </c>
      <c r="E234" s="33" t="str">
        <f aca="true">IF(C234&lt;&gt;"", SUM(INDEX(INDIRECT("'" &amp; B234 &amp; "'.$A$1:$Z$1000"), 0, MATCH("cost", INDIRECT("'" &amp; B234 &amp; "'.$A$1:$Z$1"), 0))), "")</f>
        <v/>
      </c>
      <c r="F234" s="40" t="str">
        <f aca="true">IF(C234&lt;&gt;"", SUM(INDEX(INDIRECT("'" &amp; B234 &amp; "'.$A$1:$Z$1000"), 0, MATCH("total_assembly_time_min", INDIRECT("'" &amp; B234 &amp; "'.$A$1:$Z$1"), 0)))/60, "")</f>
        <v/>
      </c>
      <c r="G234" s="33" t="str">
        <f aca="false">IF(C234&lt;&gt;"", values!$B$2, "")</f>
        <v/>
      </c>
      <c r="H234" s="33" t="str">
        <f aca="false">IF(C234&lt;&gt;"", F234*G234, "")</f>
        <v/>
      </c>
      <c r="I234" s="33" t="str">
        <f aca="false">IF(C234&lt;&gt;"", H234+E234, "")</f>
        <v/>
      </c>
      <c r="K234" s="33" t="str">
        <f aca="false">IF(C234&lt;&gt;"", L234-I234, "")</f>
        <v/>
      </c>
      <c r="L234" s="33" t="str">
        <f aca="false">IF(C234&lt;&gt;"", I234/(1-J234), "")</f>
        <v/>
      </c>
      <c r="M234" s="33" t="str">
        <f aca="false">IF(C234&lt;&gt;"", values!$A$2, "")</f>
        <v/>
      </c>
      <c r="N234" s="33" t="str">
        <f aca="false">IF(C234&lt;&gt;"", O234-L234, "")</f>
        <v/>
      </c>
      <c r="O234" s="33" t="str">
        <f aca="false">IF(C234&lt;&gt;"", L234/(1-M234), "")</f>
        <v/>
      </c>
    </row>
    <row r="235" customFormat="false" ht="12.8" hidden="false" customHeight="false" outlineLevel="0" collapsed="false">
      <c r="A235" s="1" t="s">
        <v>1424</v>
      </c>
      <c r="B235" s="31" t="s">
        <v>1425</v>
      </c>
      <c r="D235" s="32" t="str">
        <f aca="true">IF(C235&lt;&gt;"", SUM(INDEX(INDIRECT("'" &amp; B235 &amp; "'.$A$1:$Z$1000"), 0, MATCH("count", INDIRECT("'" &amp; B235 &amp; "'.$A$1:$Z$1"), 0))), "")</f>
        <v/>
      </c>
      <c r="E235" s="33" t="str">
        <f aca="true">IF(C235&lt;&gt;"", SUM(INDEX(INDIRECT("'" &amp; B235 &amp; "'.$A$1:$Z$1000"), 0, MATCH("cost", INDIRECT("'" &amp; B235 &amp; "'.$A$1:$Z$1"), 0))), "")</f>
        <v/>
      </c>
      <c r="F235" s="40" t="str">
        <f aca="true">IF(C235&lt;&gt;"", SUM(INDEX(INDIRECT("'" &amp; B235 &amp; "'.$A$1:$Z$1000"), 0, MATCH("total_assembly_time_min", INDIRECT("'" &amp; B235 &amp; "'.$A$1:$Z$1"), 0)))/60, "")</f>
        <v/>
      </c>
      <c r="G235" s="33" t="str">
        <f aca="false">IF(C235&lt;&gt;"", values!$B$2, "")</f>
        <v/>
      </c>
      <c r="H235" s="33" t="str">
        <f aca="false">IF(C235&lt;&gt;"", F235*G235, "")</f>
        <v/>
      </c>
      <c r="I235" s="33" t="str">
        <f aca="false">IF(C235&lt;&gt;"", H235+E235, "")</f>
        <v/>
      </c>
      <c r="K235" s="33" t="str">
        <f aca="false">IF(C235&lt;&gt;"", L235-I235, "")</f>
        <v/>
      </c>
      <c r="L235" s="33" t="str">
        <f aca="false">IF(C235&lt;&gt;"", I235/(1-J235), "")</f>
        <v/>
      </c>
      <c r="M235" s="33" t="str">
        <f aca="false">IF(C235&lt;&gt;"", values!$A$2, "")</f>
        <v/>
      </c>
      <c r="N235" s="33" t="str">
        <f aca="false">IF(C235&lt;&gt;"", O235-L235, "")</f>
        <v/>
      </c>
      <c r="O235" s="33" t="str">
        <f aca="false">IF(C235&lt;&gt;"", L235/(1-M235), "")</f>
        <v/>
      </c>
    </row>
    <row r="236" customFormat="false" ht="12.8" hidden="false" customHeight="false" outlineLevel="0" collapsed="false">
      <c r="A236" s="1" t="s">
        <v>1426</v>
      </c>
      <c r="B236" s="31" t="s">
        <v>1427</v>
      </c>
      <c r="D236" s="32" t="str">
        <f aca="true">IF(C236&lt;&gt;"", SUM(INDEX(INDIRECT("'" &amp; B236 &amp; "'.$A$1:$Z$1000"), 0, MATCH("count", INDIRECT("'" &amp; B236 &amp; "'.$A$1:$Z$1"), 0))), "")</f>
        <v/>
      </c>
      <c r="E236" s="33" t="str">
        <f aca="true">IF(C236&lt;&gt;"", SUM(INDEX(INDIRECT("'" &amp; B236 &amp; "'.$A$1:$Z$1000"), 0, MATCH("cost", INDIRECT("'" &amp; B236 &amp; "'.$A$1:$Z$1"), 0))), "")</f>
        <v/>
      </c>
      <c r="F236" s="40" t="str">
        <f aca="true">IF(C236&lt;&gt;"", SUM(INDEX(INDIRECT("'" &amp; B236 &amp; "'.$A$1:$Z$1000"), 0, MATCH("total_assembly_time_min", INDIRECT("'" &amp; B236 &amp; "'.$A$1:$Z$1"), 0)))/60, "")</f>
        <v/>
      </c>
      <c r="G236" s="33" t="str">
        <f aca="false">IF(C236&lt;&gt;"", values!$B$2, "")</f>
        <v/>
      </c>
      <c r="H236" s="33" t="str">
        <f aca="false">IF(C236&lt;&gt;"", F236*G236, "")</f>
        <v/>
      </c>
      <c r="I236" s="33" t="str">
        <f aca="false">IF(C236&lt;&gt;"", H236+E236, "")</f>
        <v/>
      </c>
      <c r="K236" s="33" t="str">
        <f aca="false">IF(C236&lt;&gt;"", L236-I236, "")</f>
        <v/>
      </c>
      <c r="L236" s="33" t="str">
        <f aca="false">IF(C236&lt;&gt;"", I236/(1-J236), "")</f>
        <v/>
      </c>
      <c r="M236" s="33" t="str">
        <f aca="false">IF(C236&lt;&gt;"", values!$A$2, "")</f>
        <v/>
      </c>
      <c r="N236" s="33" t="str">
        <f aca="false">IF(C236&lt;&gt;"", O236-L236, "")</f>
        <v/>
      </c>
      <c r="O236" s="33" t="str">
        <f aca="false">IF(C236&lt;&gt;"", L236/(1-M236), "")</f>
        <v/>
      </c>
    </row>
    <row r="237" customFormat="false" ht="12.8" hidden="false" customHeight="false" outlineLevel="0" collapsed="false">
      <c r="A237" s="1" t="s">
        <v>1428</v>
      </c>
      <c r="B237" s="31" t="s">
        <v>1429</v>
      </c>
      <c r="D237" s="32" t="str">
        <f aca="true">IF(C237&lt;&gt;"", SUM(INDEX(INDIRECT("'" &amp; B237 &amp; "'.$A$1:$Z$1000"), 0, MATCH("count", INDIRECT("'" &amp; B237 &amp; "'.$A$1:$Z$1"), 0))), "")</f>
        <v/>
      </c>
      <c r="E237" s="33" t="str">
        <f aca="true">IF(C237&lt;&gt;"", SUM(INDEX(INDIRECT("'" &amp; B237 &amp; "'.$A$1:$Z$1000"), 0, MATCH("cost", INDIRECT("'" &amp; B237 &amp; "'.$A$1:$Z$1"), 0))), "")</f>
        <v/>
      </c>
      <c r="F237" s="40" t="str">
        <f aca="true">IF(C237&lt;&gt;"", SUM(INDEX(INDIRECT("'" &amp; B237 &amp; "'.$A$1:$Z$1000"), 0, MATCH("total_assembly_time_min", INDIRECT("'" &amp; B237 &amp; "'.$A$1:$Z$1"), 0)))/60, "")</f>
        <v/>
      </c>
      <c r="G237" s="33" t="str">
        <f aca="false">IF(C237&lt;&gt;"", values!$B$2, "")</f>
        <v/>
      </c>
      <c r="H237" s="33" t="str">
        <f aca="false">IF(C237&lt;&gt;"", F237*G237, "")</f>
        <v/>
      </c>
      <c r="I237" s="33" t="str">
        <f aca="false">IF(C237&lt;&gt;"", H237+E237, "")</f>
        <v/>
      </c>
      <c r="K237" s="33" t="str">
        <f aca="false">IF(C237&lt;&gt;"", L237-I237, "")</f>
        <v/>
      </c>
      <c r="L237" s="33" t="str">
        <f aca="false">IF(C237&lt;&gt;"", I237/(1-J237), "")</f>
        <v/>
      </c>
      <c r="M237" s="33" t="str">
        <f aca="false">IF(C237&lt;&gt;"", values!$A$2, "")</f>
        <v/>
      </c>
      <c r="N237" s="33" t="str">
        <f aca="false">IF(C237&lt;&gt;"", O237-L237, "")</f>
        <v/>
      </c>
      <c r="O237" s="33" t="str">
        <f aca="false">IF(C237&lt;&gt;"", L237/(1-M237), "")</f>
        <v/>
      </c>
    </row>
    <row r="238" customFormat="false" ht="12.8" hidden="false" customHeight="false" outlineLevel="0" collapsed="false">
      <c r="A238" s="1" t="s">
        <v>1430</v>
      </c>
      <c r="B238" s="31" t="s">
        <v>1431</v>
      </c>
      <c r="D238" s="32" t="str">
        <f aca="true">IF(C238&lt;&gt;"", SUM(INDEX(INDIRECT("'" &amp; B238 &amp; "'.$A$1:$Z$1000"), 0, MATCH("count", INDIRECT("'" &amp; B238 &amp; "'.$A$1:$Z$1"), 0))), "")</f>
        <v/>
      </c>
      <c r="E238" s="33" t="str">
        <f aca="true">IF(C238&lt;&gt;"", SUM(INDEX(INDIRECT("'" &amp; B238 &amp; "'.$A$1:$Z$1000"), 0, MATCH("cost", INDIRECT("'" &amp; B238 &amp; "'.$A$1:$Z$1"), 0))), "")</f>
        <v/>
      </c>
      <c r="F238" s="40" t="str">
        <f aca="true">IF(C238&lt;&gt;"", SUM(INDEX(INDIRECT("'" &amp; B238 &amp; "'.$A$1:$Z$1000"), 0, MATCH("total_assembly_time_min", INDIRECT("'" &amp; B238 &amp; "'.$A$1:$Z$1"), 0)))/60, "")</f>
        <v/>
      </c>
      <c r="G238" s="33" t="str">
        <f aca="false">IF(C238&lt;&gt;"", values!$B$2, "")</f>
        <v/>
      </c>
      <c r="H238" s="33" t="str">
        <f aca="false">IF(C238&lt;&gt;"", F238*G238, "")</f>
        <v/>
      </c>
      <c r="I238" s="33" t="str">
        <f aca="false">IF(C238&lt;&gt;"", H238+E238, "")</f>
        <v/>
      </c>
      <c r="K238" s="33" t="str">
        <f aca="false">IF(C238&lt;&gt;"", L238-I238, "")</f>
        <v/>
      </c>
      <c r="L238" s="33" t="str">
        <f aca="false">IF(C238&lt;&gt;"", I238/(1-J238), "")</f>
        <v/>
      </c>
      <c r="M238" s="33" t="str">
        <f aca="false">IF(C238&lt;&gt;"", values!$A$2, "")</f>
        <v/>
      </c>
      <c r="N238" s="33" t="str">
        <f aca="false">IF(C238&lt;&gt;"", O238-L238, "")</f>
        <v/>
      </c>
      <c r="O238" s="33" t="str">
        <f aca="false">IF(C238&lt;&gt;"", L238/(1-M238), "")</f>
        <v/>
      </c>
    </row>
    <row r="239" customFormat="false" ht="12.8" hidden="false" customHeight="false" outlineLevel="0" collapsed="false">
      <c r="A239" s="1" t="s">
        <v>1432</v>
      </c>
      <c r="B239" s="31" t="s">
        <v>1433</v>
      </c>
      <c r="D239" s="32" t="str">
        <f aca="true">IF(C239&lt;&gt;"", SUM(INDEX(INDIRECT("'" &amp; B239 &amp; "'.$A$1:$Z$1000"), 0, MATCH("count", INDIRECT("'" &amp; B239 &amp; "'.$A$1:$Z$1"), 0))), "")</f>
        <v/>
      </c>
      <c r="E239" s="33" t="str">
        <f aca="true">IF(C239&lt;&gt;"", SUM(INDEX(INDIRECT("'" &amp; B239 &amp; "'.$A$1:$Z$1000"), 0, MATCH("cost", INDIRECT("'" &amp; B239 &amp; "'.$A$1:$Z$1"), 0))), "")</f>
        <v/>
      </c>
      <c r="F239" s="40" t="str">
        <f aca="true">IF(C239&lt;&gt;"", SUM(INDEX(INDIRECT("'" &amp; B239 &amp; "'.$A$1:$Z$1000"), 0, MATCH("total_assembly_time_min", INDIRECT("'" &amp; B239 &amp; "'.$A$1:$Z$1"), 0)))/60, "")</f>
        <v/>
      </c>
      <c r="G239" s="33" t="str">
        <f aca="false">IF(C239&lt;&gt;"", values!$B$2, "")</f>
        <v/>
      </c>
      <c r="H239" s="33" t="str">
        <f aca="false">IF(C239&lt;&gt;"", F239*G239, "")</f>
        <v/>
      </c>
      <c r="I239" s="33" t="str">
        <f aca="false">IF(C239&lt;&gt;"", H239+E239, "")</f>
        <v/>
      </c>
      <c r="K239" s="33" t="str">
        <f aca="false">IF(C239&lt;&gt;"", L239-I239, "")</f>
        <v/>
      </c>
      <c r="L239" s="33" t="str">
        <f aca="false">IF(C239&lt;&gt;"", I239/(1-J239), "")</f>
        <v/>
      </c>
      <c r="M239" s="33" t="str">
        <f aca="false">IF(C239&lt;&gt;"", values!$A$2, "")</f>
        <v/>
      </c>
      <c r="N239" s="33" t="str">
        <f aca="false">IF(C239&lt;&gt;"", O239-L239, "")</f>
        <v/>
      </c>
      <c r="O239" s="33" t="str">
        <f aca="false">IF(C239&lt;&gt;"", L239/(1-M239), "")</f>
        <v/>
      </c>
    </row>
    <row r="240" customFormat="false" ht="12.8" hidden="false" customHeight="false" outlineLevel="0" collapsed="false">
      <c r="A240" s="1" t="s">
        <v>1434</v>
      </c>
      <c r="B240" s="31" t="s">
        <v>1435</v>
      </c>
      <c r="D240" s="32" t="str">
        <f aca="true">IF(C240&lt;&gt;"", SUM(INDEX(INDIRECT("'" &amp; B240 &amp; "'.$A$1:$Z$1000"), 0, MATCH("count", INDIRECT("'" &amp; B240 &amp; "'.$A$1:$Z$1"), 0))), "")</f>
        <v/>
      </c>
      <c r="E240" s="33" t="str">
        <f aca="true">IF(C240&lt;&gt;"", SUM(INDEX(INDIRECT("'" &amp; B240 &amp; "'.$A$1:$Z$1000"), 0, MATCH("cost", INDIRECT("'" &amp; B240 &amp; "'.$A$1:$Z$1"), 0))), "")</f>
        <v/>
      </c>
      <c r="F240" s="40" t="str">
        <f aca="true">IF(C240&lt;&gt;"", SUM(INDEX(INDIRECT("'" &amp; B240 &amp; "'.$A$1:$Z$1000"), 0, MATCH("total_assembly_time_min", INDIRECT("'" &amp; B240 &amp; "'.$A$1:$Z$1"), 0)))/60, "")</f>
        <v/>
      </c>
      <c r="G240" s="33" t="str">
        <f aca="false">IF(C240&lt;&gt;"", values!$B$2, "")</f>
        <v/>
      </c>
      <c r="H240" s="33" t="str">
        <f aca="false">IF(C240&lt;&gt;"", F240*G240, "")</f>
        <v/>
      </c>
      <c r="I240" s="33" t="str">
        <f aca="false">IF(C240&lt;&gt;"", H240+E240, "")</f>
        <v/>
      </c>
      <c r="K240" s="33" t="str">
        <f aca="false">IF(C240&lt;&gt;"", L240-I240, "")</f>
        <v/>
      </c>
      <c r="L240" s="33" t="str">
        <f aca="false">IF(C240&lt;&gt;"", I240/(1-J240), "")</f>
        <v/>
      </c>
      <c r="M240" s="33" t="str">
        <f aca="false">IF(C240&lt;&gt;"", values!$A$2, "")</f>
        <v/>
      </c>
      <c r="N240" s="33" t="str">
        <f aca="false">IF(C240&lt;&gt;"", O240-L240, "")</f>
        <v/>
      </c>
      <c r="O240" s="33" t="str">
        <f aca="false">IF(C240&lt;&gt;"", L240/(1-M240), "")</f>
        <v/>
      </c>
    </row>
    <row r="241" customFormat="false" ht="12.8" hidden="false" customHeight="false" outlineLevel="0" collapsed="false">
      <c r="A241" s="1" t="s">
        <v>1436</v>
      </c>
      <c r="B241" s="31" t="s">
        <v>1437</v>
      </c>
      <c r="D241" s="32" t="str">
        <f aca="true">IF(C241&lt;&gt;"", SUM(INDEX(INDIRECT("'" &amp; B241 &amp; "'.$A$1:$Z$1000"), 0, MATCH("count", INDIRECT("'" &amp; B241 &amp; "'.$A$1:$Z$1"), 0))), "")</f>
        <v/>
      </c>
      <c r="E241" s="33" t="str">
        <f aca="true">IF(C241&lt;&gt;"", SUM(INDEX(INDIRECT("'" &amp; B241 &amp; "'.$A$1:$Z$1000"), 0, MATCH("cost", INDIRECT("'" &amp; B241 &amp; "'.$A$1:$Z$1"), 0))), "")</f>
        <v/>
      </c>
      <c r="F241" s="40" t="str">
        <f aca="true">IF(C241&lt;&gt;"", SUM(INDEX(INDIRECT("'" &amp; B241 &amp; "'.$A$1:$Z$1000"), 0, MATCH("total_assembly_time_min", INDIRECT("'" &amp; B241 &amp; "'.$A$1:$Z$1"), 0)))/60, "")</f>
        <v/>
      </c>
      <c r="G241" s="33" t="str">
        <f aca="false">IF(C241&lt;&gt;"", values!$B$2, "")</f>
        <v/>
      </c>
      <c r="H241" s="33" t="str">
        <f aca="false">IF(C241&lt;&gt;"", F241*G241, "")</f>
        <v/>
      </c>
      <c r="I241" s="33" t="str">
        <f aca="false">IF(C241&lt;&gt;"", H241+E241, "")</f>
        <v/>
      </c>
      <c r="K241" s="33" t="str">
        <f aca="false">IF(C241&lt;&gt;"", L241-I241, "")</f>
        <v/>
      </c>
      <c r="L241" s="33" t="str">
        <f aca="false">IF(C241&lt;&gt;"", I241/(1-J241), "")</f>
        <v/>
      </c>
      <c r="M241" s="33" t="str">
        <f aca="false">IF(C241&lt;&gt;"", values!$A$2, "")</f>
        <v/>
      </c>
      <c r="N241" s="33" t="str">
        <f aca="false">IF(C241&lt;&gt;"", O241-L241, "")</f>
        <v/>
      </c>
      <c r="O241" s="33" t="str">
        <f aca="false">IF(C241&lt;&gt;"", L241/(1-M241), "")</f>
        <v/>
      </c>
    </row>
    <row r="242" customFormat="false" ht="12.8" hidden="false" customHeight="false" outlineLevel="0" collapsed="false">
      <c r="A242" s="1" t="s">
        <v>1438</v>
      </c>
      <c r="B242" s="31" t="s">
        <v>1439</v>
      </c>
      <c r="D242" s="32" t="str">
        <f aca="true">IF(C242&lt;&gt;"", SUM(INDEX(INDIRECT("'" &amp; B242 &amp; "'.$A$1:$Z$1000"), 0, MATCH("count", INDIRECT("'" &amp; B242 &amp; "'.$A$1:$Z$1"), 0))), "")</f>
        <v/>
      </c>
      <c r="E242" s="33" t="str">
        <f aca="true">IF(C242&lt;&gt;"", SUM(INDEX(INDIRECT("'" &amp; B242 &amp; "'.$A$1:$Z$1000"), 0, MATCH("cost", INDIRECT("'" &amp; B242 &amp; "'.$A$1:$Z$1"), 0))), "")</f>
        <v/>
      </c>
      <c r="F242" s="40" t="str">
        <f aca="true">IF(C242&lt;&gt;"", SUM(INDEX(INDIRECT("'" &amp; B242 &amp; "'.$A$1:$Z$1000"), 0, MATCH("total_assembly_time_min", INDIRECT("'" &amp; B242 &amp; "'.$A$1:$Z$1"), 0)))/60, "")</f>
        <v/>
      </c>
      <c r="G242" s="33" t="str">
        <f aca="false">IF(C242&lt;&gt;"", values!$B$2, "")</f>
        <v/>
      </c>
      <c r="H242" s="33" t="str">
        <f aca="false">IF(C242&lt;&gt;"", F242*G242, "")</f>
        <v/>
      </c>
      <c r="I242" s="33" t="str">
        <f aca="false">IF(C242&lt;&gt;"", H242+E242, "")</f>
        <v/>
      </c>
      <c r="K242" s="33" t="str">
        <f aca="false">IF(C242&lt;&gt;"", L242-I242, "")</f>
        <v/>
      </c>
      <c r="L242" s="33" t="str">
        <f aca="false">IF(C242&lt;&gt;"", I242/(1-J242), "")</f>
        <v/>
      </c>
      <c r="M242" s="33" t="str">
        <f aca="false">IF(C242&lt;&gt;"", values!$A$2, "")</f>
        <v/>
      </c>
      <c r="N242" s="33" t="str">
        <f aca="false">IF(C242&lt;&gt;"", O242-L242, "")</f>
        <v/>
      </c>
      <c r="O242" s="33" t="str">
        <f aca="false">IF(C242&lt;&gt;"", L242/(1-M242), "")</f>
        <v/>
      </c>
    </row>
    <row r="243" customFormat="false" ht="12.8" hidden="false" customHeight="false" outlineLevel="0" collapsed="false">
      <c r="A243" s="1" t="s">
        <v>1440</v>
      </c>
      <c r="B243" s="31" t="s">
        <v>1441</v>
      </c>
      <c r="D243" s="32" t="str">
        <f aca="true">IF(C243&lt;&gt;"", SUM(INDEX(INDIRECT("'" &amp; B243 &amp; "'.$A$1:$Z$1000"), 0, MATCH("count", INDIRECT("'" &amp; B243 &amp; "'.$A$1:$Z$1"), 0))), "")</f>
        <v/>
      </c>
      <c r="E243" s="33" t="str">
        <f aca="true">IF(C243&lt;&gt;"", SUM(INDEX(INDIRECT("'" &amp; B243 &amp; "'.$A$1:$Z$1000"), 0, MATCH("cost", INDIRECT("'" &amp; B243 &amp; "'.$A$1:$Z$1"), 0))), "")</f>
        <v/>
      </c>
      <c r="F243" s="40" t="str">
        <f aca="true">IF(C243&lt;&gt;"", SUM(INDEX(INDIRECT("'" &amp; B243 &amp; "'.$A$1:$Z$1000"), 0, MATCH("total_assembly_time_min", INDIRECT("'" &amp; B243 &amp; "'.$A$1:$Z$1"), 0)))/60, "")</f>
        <v/>
      </c>
      <c r="G243" s="33" t="str">
        <f aca="false">IF(C243&lt;&gt;"", values!$B$2, "")</f>
        <v/>
      </c>
      <c r="H243" s="33" t="str">
        <f aca="false">IF(C243&lt;&gt;"", F243*G243, "")</f>
        <v/>
      </c>
      <c r="I243" s="33" t="str">
        <f aca="false">IF(C243&lt;&gt;"", H243+E243, "")</f>
        <v/>
      </c>
      <c r="K243" s="33" t="str">
        <f aca="false">IF(C243&lt;&gt;"", L243-I243, "")</f>
        <v/>
      </c>
      <c r="L243" s="33" t="str">
        <f aca="false">IF(C243&lt;&gt;"", I243/(1-J243), "")</f>
        <v/>
      </c>
      <c r="M243" s="33" t="str">
        <f aca="false">IF(C243&lt;&gt;"", values!$A$2, "")</f>
        <v/>
      </c>
      <c r="N243" s="33" t="str">
        <f aca="false">IF(C243&lt;&gt;"", O243-L243, "")</f>
        <v/>
      </c>
      <c r="O243" s="33" t="str">
        <f aca="false">IF(C243&lt;&gt;"", L243/(1-M243), "")</f>
        <v/>
      </c>
    </row>
    <row r="244" customFormat="false" ht="12.8" hidden="false" customHeight="false" outlineLevel="0" collapsed="false">
      <c r="A244" s="1" t="s">
        <v>1442</v>
      </c>
      <c r="B244" s="31" t="s">
        <v>1443</v>
      </c>
      <c r="D244" s="32" t="str">
        <f aca="true">IF(C244&lt;&gt;"", SUM(INDEX(INDIRECT("'" &amp; B244 &amp; "'.$A$1:$Z$1000"), 0, MATCH("count", INDIRECT("'" &amp; B244 &amp; "'.$A$1:$Z$1"), 0))), "")</f>
        <v/>
      </c>
      <c r="E244" s="33" t="str">
        <f aca="true">IF(C244&lt;&gt;"", SUM(INDEX(INDIRECT("'" &amp; B244 &amp; "'.$A$1:$Z$1000"), 0, MATCH("cost", INDIRECT("'" &amp; B244 &amp; "'.$A$1:$Z$1"), 0))), "")</f>
        <v/>
      </c>
      <c r="F244" s="40" t="str">
        <f aca="true">IF(C244&lt;&gt;"", SUM(INDEX(INDIRECT("'" &amp; B244 &amp; "'.$A$1:$Z$1000"), 0, MATCH("total_assembly_time_min", INDIRECT("'" &amp; B244 &amp; "'.$A$1:$Z$1"), 0)))/60, "")</f>
        <v/>
      </c>
      <c r="G244" s="33" t="str">
        <f aca="false">IF(C244&lt;&gt;"", values!$B$2, "")</f>
        <v/>
      </c>
      <c r="H244" s="33" t="str">
        <f aca="false">IF(C244&lt;&gt;"", F244*G244, "")</f>
        <v/>
      </c>
      <c r="I244" s="33" t="str">
        <f aca="false">IF(C244&lt;&gt;"", H244+E244, "")</f>
        <v/>
      </c>
      <c r="K244" s="33" t="str">
        <f aca="false">IF(C244&lt;&gt;"", L244-I244, "")</f>
        <v/>
      </c>
      <c r="L244" s="33" t="str">
        <f aca="false">IF(C244&lt;&gt;"", I244/(1-J244), "")</f>
        <v/>
      </c>
      <c r="M244" s="33" t="str">
        <f aca="false">IF(C244&lt;&gt;"", values!$A$2, "")</f>
        <v/>
      </c>
      <c r="N244" s="33" t="str">
        <f aca="false">IF(C244&lt;&gt;"", O244-L244, "")</f>
        <v/>
      </c>
      <c r="O244" s="33" t="str">
        <f aca="false">IF(C244&lt;&gt;"", L244/(1-M244), "")</f>
        <v/>
      </c>
    </row>
    <row r="245" customFormat="false" ht="12.8" hidden="false" customHeight="false" outlineLevel="0" collapsed="false">
      <c r="A245" s="1" t="s">
        <v>1444</v>
      </c>
      <c r="B245" s="31" t="s">
        <v>1445</v>
      </c>
      <c r="D245" s="32" t="str">
        <f aca="true">IF(C245&lt;&gt;"", SUM(INDEX(INDIRECT("'" &amp; B245 &amp; "'.$A$1:$Z$1000"), 0, MATCH("count", INDIRECT("'" &amp; B245 &amp; "'.$A$1:$Z$1"), 0))), "")</f>
        <v/>
      </c>
      <c r="E245" s="33" t="str">
        <f aca="true">IF(C245&lt;&gt;"", SUM(INDEX(INDIRECT("'" &amp; B245 &amp; "'.$A$1:$Z$1000"), 0, MATCH("cost", INDIRECT("'" &amp; B245 &amp; "'.$A$1:$Z$1"), 0))), "")</f>
        <v/>
      </c>
      <c r="F245" s="40" t="str">
        <f aca="true">IF(C245&lt;&gt;"", SUM(INDEX(INDIRECT("'" &amp; B245 &amp; "'.$A$1:$Z$1000"), 0, MATCH("total_assembly_time_min", INDIRECT("'" &amp; B245 &amp; "'.$A$1:$Z$1"), 0)))/60, "")</f>
        <v/>
      </c>
      <c r="G245" s="33" t="str">
        <f aca="false">IF(C245&lt;&gt;"", values!$B$2, "")</f>
        <v/>
      </c>
      <c r="H245" s="33" t="str">
        <f aca="false">IF(C245&lt;&gt;"", F245*G245, "")</f>
        <v/>
      </c>
      <c r="I245" s="33" t="str">
        <f aca="false">IF(C245&lt;&gt;"", H245+E245, "")</f>
        <v/>
      </c>
      <c r="K245" s="33" t="str">
        <f aca="false">IF(C245&lt;&gt;"", L245-I245, "")</f>
        <v/>
      </c>
      <c r="L245" s="33" t="str">
        <f aca="false">IF(C245&lt;&gt;"", I245/(1-J245), "")</f>
        <v/>
      </c>
      <c r="M245" s="33" t="str">
        <f aca="false">IF(C245&lt;&gt;"", values!$A$2, "")</f>
        <v/>
      </c>
      <c r="N245" s="33" t="str">
        <f aca="false">IF(C245&lt;&gt;"", O245-L245, "")</f>
        <v/>
      </c>
      <c r="O245" s="33" t="str">
        <f aca="false">IF(C245&lt;&gt;"", L245/(1-M245), "")</f>
        <v/>
      </c>
    </row>
    <row r="246" customFormat="false" ht="12.8" hidden="false" customHeight="false" outlineLevel="0" collapsed="false">
      <c r="A246" s="1" t="s">
        <v>1446</v>
      </c>
      <c r="B246" s="31" t="s">
        <v>1447</v>
      </c>
      <c r="D246" s="32" t="str">
        <f aca="true">IF(C246&lt;&gt;"", SUM(INDEX(INDIRECT("'" &amp; B246 &amp; "'.$A$1:$Z$1000"), 0, MATCH("count", INDIRECT("'" &amp; B246 &amp; "'.$A$1:$Z$1"), 0))), "")</f>
        <v/>
      </c>
      <c r="E246" s="33" t="str">
        <f aca="true">IF(C246&lt;&gt;"", SUM(INDEX(INDIRECT("'" &amp; B246 &amp; "'.$A$1:$Z$1000"), 0, MATCH("cost", INDIRECT("'" &amp; B246 &amp; "'.$A$1:$Z$1"), 0))), "")</f>
        <v/>
      </c>
      <c r="F246" s="40" t="str">
        <f aca="true">IF(C246&lt;&gt;"", SUM(INDEX(INDIRECT("'" &amp; B246 &amp; "'.$A$1:$Z$1000"), 0, MATCH("total_assembly_time_min", INDIRECT("'" &amp; B246 &amp; "'.$A$1:$Z$1"), 0)))/60, "")</f>
        <v/>
      </c>
      <c r="G246" s="33" t="str">
        <f aca="false">IF(C246&lt;&gt;"", values!$B$2, "")</f>
        <v/>
      </c>
      <c r="H246" s="33" t="str">
        <f aca="false">IF(C246&lt;&gt;"", F246*G246, "")</f>
        <v/>
      </c>
      <c r="I246" s="33" t="str">
        <f aca="false">IF(C246&lt;&gt;"", H246+E246, "")</f>
        <v/>
      </c>
      <c r="K246" s="33" t="str">
        <f aca="false">IF(C246&lt;&gt;"", L246-I246, "")</f>
        <v/>
      </c>
      <c r="L246" s="33" t="str">
        <f aca="false">IF(C246&lt;&gt;"", I246/(1-J246), "")</f>
        <v/>
      </c>
      <c r="M246" s="33" t="str">
        <f aca="false">IF(C246&lt;&gt;"", values!$A$2, "")</f>
        <v/>
      </c>
      <c r="N246" s="33" t="str">
        <f aca="false">IF(C246&lt;&gt;"", O246-L246, "")</f>
        <v/>
      </c>
      <c r="O246" s="33" t="str">
        <f aca="false">IF(C246&lt;&gt;"", L246/(1-M246), "")</f>
        <v/>
      </c>
    </row>
    <row r="247" customFormat="false" ht="12.8" hidden="false" customHeight="false" outlineLevel="0" collapsed="false">
      <c r="A247" s="1" t="s">
        <v>1448</v>
      </c>
      <c r="B247" s="31" t="s">
        <v>1449</v>
      </c>
      <c r="D247" s="32" t="str">
        <f aca="true">IF(C247&lt;&gt;"", SUM(INDEX(INDIRECT("'" &amp; B247 &amp; "'.$A$1:$Z$1000"), 0, MATCH("count", INDIRECT("'" &amp; B247 &amp; "'.$A$1:$Z$1"), 0))), "")</f>
        <v/>
      </c>
      <c r="E247" s="33" t="str">
        <f aca="true">IF(C247&lt;&gt;"", SUM(INDEX(INDIRECT("'" &amp; B247 &amp; "'.$A$1:$Z$1000"), 0, MATCH("cost", INDIRECT("'" &amp; B247 &amp; "'.$A$1:$Z$1"), 0))), "")</f>
        <v/>
      </c>
      <c r="F247" s="40" t="str">
        <f aca="true">IF(C247&lt;&gt;"", SUM(INDEX(INDIRECT("'" &amp; B247 &amp; "'.$A$1:$Z$1000"), 0, MATCH("total_assembly_time_min", INDIRECT("'" &amp; B247 &amp; "'.$A$1:$Z$1"), 0)))/60, "")</f>
        <v/>
      </c>
      <c r="G247" s="33" t="str">
        <f aca="false">IF(C247&lt;&gt;"", values!$B$2, "")</f>
        <v/>
      </c>
      <c r="H247" s="33" t="str">
        <f aca="false">IF(C247&lt;&gt;"", F247*G247, "")</f>
        <v/>
      </c>
      <c r="I247" s="33" t="str">
        <f aca="false">IF(C247&lt;&gt;"", H247+E247, "")</f>
        <v/>
      </c>
      <c r="K247" s="33" t="str">
        <f aca="false">IF(C247&lt;&gt;"", L247-I247, "")</f>
        <v/>
      </c>
      <c r="L247" s="33" t="str">
        <f aca="false">IF(C247&lt;&gt;"", I247/(1-J247), "")</f>
        <v/>
      </c>
      <c r="M247" s="33" t="str">
        <f aca="false">IF(C247&lt;&gt;"", values!$A$2, "")</f>
        <v/>
      </c>
      <c r="N247" s="33" t="str">
        <f aca="false">IF(C247&lt;&gt;"", O247-L247, "")</f>
        <v/>
      </c>
      <c r="O247" s="33" t="str">
        <f aca="false">IF(C247&lt;&gt;"", L247/(1-M247), "")</f>
        <v/>
      </c>
    </row>
    <row r="248" customFormat="false" ht="12.8" hidden="false" customHeight="false" outlineLevel="0" collapsed="false">
      <c r="A248" s="1" t="s">
        <v>1450</v>
      </c>
      <c r="B248" s="31" t="s">
        <v>1451</v>
      </c>
      <c r="D248" s="32" t="str">
        <f aca="true">IF(C248&lt;&gt;"", SUM(INDEX(INDIRECT("'" &amp; B248 &amp; "'.$A$1:$Z$1000"), 0, MATCH("count", INDIRECT("'" &amp; B248 &amp; "'.$A$1:$Z$1"), 0))), "")</f>
        <v/>
      </c>
      <c r="E248" s="33" t="str">
        <f aca="true">IF(C248&lt;&gt;"", SUM(INDEX(INDIRECT("'" &amp; B248 &amp; "'.$A$1:$Z$1000"), 0, MATCH("cost", INDIRECT("'" &amp; B248 &amp; "'.$A$1:$Z$1"), 0))), "")</f>
        <v/>
      </c>
      <c r="F248" s="40" t="str">
        <f aca="true">IF(C248&lt;&gt;"", SUM(INDEX(INDIRECT("'" &amp; B248 &amp; "'.$A$1:$Z$1000"), 0, MATCH("total_assembly_time_min", INDIRECT("'" &amp; B248 &amp; "'.$A$1:$Z$1"), 0)))/60, "")</f>
        <v/>
      </c>
      <c r="G248" s="33" t="str">
        <f aca="false">IF(C248&lt;&gt;"", values!$B$2, "")</f>
        <v/>
      </c>
      <c r="H248" s="33" t="str">
        <f aca="false">IF(C248&lt;&gt;"", F248*G248, "")</f>
        <v/>
      </c>
      <c r="I248" s="33" t="str">
        <f aca="false">IF(C248&lt;&gt;"", H248+E248, "")</f>
        <v/>
      </c>
      <c r="K248" s="33" t="str">
        <f aca="false">IF(C248&lt;&gt;"", L248-I248, "")</f>
        <v/>
      </c>
      <c r="L248" s="33" t="str">
        <f aca="false">IF(C248&lt;&gt;"", I248/(1-J248), "")</f>
        <v/>
      </c>
      <c r="M248" s="33" t="str">
        <f aca="false">IF(C248&lt;&gt;"", values!$A$2, "")</f>
        <v/>
      </c>
      <c r="N248" s="33" t="str">
        <f aca="false">IF(C248&lt;&gt;"", O248-L248, "")</f>
        <v/>
      </c>
      <c r="O248" s="33" t="str">
        <f aca="false">IF(C248&lt;&gt;"", L248/(1-M248), "")</f>
        <v/>
      </c>
    </row>
    <row r="249" customFormat="false" ht="12.8" hidden="false" customHeight="false" outlineLevel="0" collapsed="false">
      <c r="A249" s="1" t="s">
        <v>1452</v>
      </c>
      <c r="B249" s="31" t="s">
        <v>1453</v>
      </c>
      <c r="D249" s="32" t="str">
        <f aca="true">IF(C249&lt;&gt;"", SUM(INDEX(INDIRECT("'" &amp; B249 &amp; "'.$A$1:$Z$1000"), 0, MATCH("count", INDIRECT("'" &amp; B249 &amp; "'.$A$1:$Z$1"), 0))), "")</f>
        <v/>
      </c>
      <c r="E249" s="33" t="str">
        <f aca="true">IF(C249&lt;&gt;"", SUM(INDEX(INDIRECT("'" &amp; B249 &amp; "'.$A$1:$Z$1000"), 0, MATCH("cost", INDIRECT("'" &amp; B249 &amp; "'.$A$1:$Z$1"), 0))), "")</f>
        <v/>
      </c>
      <c r="F249" s="40" t="str">
        <f aca="true">IF(C249&lt;&gt;"", SUM(INDEX(INDIRECT("'" &amp; B249 &amp; "'.$A$1:$Z$1000"), 0, MATCH("total_assembly_time_min", INDIRECT("'" &amp; B249 &amp; "'.$A$1:$Z$1"), 0)))/60, "")</f>
        <v/>
      </c>
      <c r="G249" s="33" t="str">
        <f aca="false">IF(C249&lt;&gt;"", values!$B$2, "")</f>
        <v/>
      </c>
      <c r="H249" s="33" t="str">
        <f aca="false">IF(C249&lt;&gt;"", F249*G249, "")</f>
        <v/>
      </c>
      <c r="I249" s="33" t="str">
        <f aca="false">IF(C249&lt;&gt;"", H249+E249, "")</f>
        <v/>
      </c>
      <c r="K249" s="33" t="str">
        <f aca="false">IF(C249&lt;&gt;"", L249-I249, "")</f>
        <v/>
      </c>
      <c r="L249" s="33" t="str">
        <f aca="false">IF(C249&lt;&gt;"", I249/(1-J249), "")</f>
        <v/>
      </c>
      <c r="M249" s="33" t="str">
        <f aca="false">IF(C249&lt;&gt;"", values!$A$2, "")</f>
        <v/>
      </c>
      <c r="N249" s="33" t="str">
        <f aca="false">IF(C249&lt;&gt;"", O249-L249, "")</f>
        <v/>
      </c>
      <c r="O249" s="33" t="str">
        <f aca="false">IF(C249&lt;&gt;"", L249/(1-M249), "")</f>
        <v/>
      </c>
    </row>
    <row r="250" customFormat="false" ht="12.8" hidden="false" customHeight="false" outlineLevel="0" collapsed="false">
      <c r="A250" s="1" t="s">
        <v>1454</v>
      </c>
      <c r="B250" s="31" t="s">
        <v>1455</v>
      </c>
      <c r="D250" s="32" t="str">
        <f aca="true">IF(C250&lt;&gt;"", SUM(INDEX(INDIRECT("'" &amp; B250 &amp; "'.$A$1:$Z$1000"), 0, MATCH("count", INDIRECT("'" &amp; B250 &amp; "'.$A$1:$Z$1"), 0))), "")</f>
        <v/>
      </c>
      <c r="E250" s="33" t="str">
        <f aca="true">IF(C250&lt;&gt;"", SUM(INDEX(INDIRECT("'" &amp; B250 &amp; "'.$A$1:$Z$1000"), 0, MATCH("cost", INDIRECT("'" &amp; B250 &amp; "'.$A$1:$Z$1"), 0))), "")</f>
        <v/>
      </c>
      <c r="F250" s="40" t="str">
        <f aca="true">IF(C250&lt;&gt;"", SUM(INDEX(INDIRECT("'" &amp; B250 &amp; "'.$A$1:$Z$1000"), 0, MATCH("total_assembly_time_min", INDIRECT("'" &amp; B250 &amp; "'.$A$1:$Z$1"), 0)))/60, "")</f>
        <v/>
      </c>
      <c r="G250" s="33" t="str">
        <f aca="false">IF(C250&lt;&gt;"", values!$B$2, "")</f>
        <v/>
      </c>
      <c r="H250" s="33" t="str">
        <f aca="false">IF(C250&lt;&gt;"", F250*G250, "")</f>
        <v/>
      </c>
      <c r="I250" s="33" t="str">
        <f aca="false">IF(C250&lt;&gt;"", H250+E250, "")</f>
        <v/>
      </c>
      <c r="K250" s="33" t="str">
        <f aca="false">IF(C250&lt;&gt;"", L250-I250, "")</f>
        <v/>
      </c>
      <c r="L250" s="33" t="str">
        <f aca="false">IF(C250&lt;&gt;"", I250/(1-J250), "")</f>
        <v/>
      </c>
      <c r="M250" s="33" t="str">
        <f aca="false">IF(C250&lt;&gt;"", values!$A$2, "")</f>
        <v/>
      </c>
      <c r="N250" s="33" t="str">
        <f aca="false">IF(C250&lt;&gt;"", O250-L250, "")</f>
        <v/>
      </c>
      <c r="O250" s="33" t="str">
        <f aca="false">IF(C250&lt;&gt;"", L250/(1-M250), "")</f>
        <v/>
      </c>
    </row>
    <row r="251" customFormat="false" ht="12.8" hidden="false" customHeight="false" outlineLevel="0" collapsed="false">
      <c r="A251" s="1" t="s">
        <v>1456</v>
      </c>
      <c r="B251" s="31" t="s">
        <v>1457</v>
      </c>
      <c r="D251" s="32" t="str">
        <f aca="true">IF(C251&lt;&gt;"", SUM(INDEX(INDIRECT("'" &amp; B251 &amp; "'.$A$1:$Z$1000"), 0, MATCH("count", INDIRECT("'" &amp; B251 &amp; "'.$A$1:$Z$1"), 0))), "")</f>
        <v/>
      </c>
      <c r="E251" s="33" t="str">
        <f aca="true">IF(C251&lt;&gt;"", SUM(INDEX(INDIRECT("'" &amp; B251 &amp; "'.$A$1:$Z$1000"), 0, MATCH("cost", INDIRECT("'" &amp; B251 &amp; "'.$A$1:$Z$1"), 0))), "")</f>
        <v/>
      </c>
      <c r="F251" s="40" t="str">
        <f aca="true">IF(C251&lt;&gt;"", SUM(INDEX(INDIRECT("'" &amp; B251 &amp; "'.$A$1:$Z$1000"), 0, MATCH("total_assembly_time_min", INDIRECT("'" &amp; B251 &amp; "'.$A$1:$Z$1"), 0)))/60, "")</f>
        <v/>
      </c>
      <c r="G251" s="33" t="str">
        <f aca="false">IF(C251&lt;&gt;"", values!$B$2, "")</f>
        <v/>
      </c>
      <c r="H251" s="33" t="str">
        <f aca="false">IF(C251&lt;&gt;"", F251*G251, "")</f>
        <v/>
      </c>
      <c r="I251" s="33" t="str">
        <f aca="false">IF(C251&lt;&gt;"", H251+E251, "")</f>
        <v/>
      </c>
      <c r="K251" s="33" t="str">
        <f aca="false">IF(C251&lt;&gt;"", L251-I251, "")</f>
        <v/>
      </c>
      <c r="L251" s="33" t="str">
        <f aca="false">IF(C251&lt;&gt;"", I251/(1-J251), "")</f>
        <v/>
      </c>
      <c r="M251" s="33" t="str">
        <f aca="false">IF(C251&lt;&gt;"", values!$A$2, "")</f>
        <v/>
      </c>
      <c r="N251" s="33" t="str">
        <f aca="false">IF(C251&lt;&gt;"", O251-L251, "")</f>
        <v/>
      </c>
      <c r="O251" s="33" t="str">
        <f aca="false">IF(C251&lt;&gt;"", L251/(1-M251), "")</f>
        <v/>
      </c>
    </row>
    <row r="252" customFormat="false" ht="12.8" hidden="false" customHeight="false" outlineLevel="0" collapsed="false">
      <c r="A252" s="1" t="s">
        <v>1458</v>
      </c>
      <c r="B252" s="31" t="s">
        <v>1459</v>
      </c>
      <c r="D252" s="32" t="str">
        <f aca="true">IF(C252&lt;&gt;"", SUM(INDEX(INDIRECT("'" &amp; B252 &amp; "'.$A$1:$Z$1000"), 0, MATCH("count", INDIRECT("'" &amp; B252 &amp; "'.$A$1:$Z$1"), 0))), "")</f>
        <v/>
      </c>
      <c r="E252" s="33" t="str">
        <f aca="true">IF(C252&lt;&gt;"", SUM(INDEX(INDIRECT("'" &amp; B252 &amp; "'.$A$1:$Z$1000"), 0, MATCH("cost", INDIRECT("'" &amp; B252 &amp; "'.$A$1:$Z$1"), 0))), "")</f>
        <v/>
      </c>
      <c r="F252" s="40" t="str">
        <f aca="true">IF(C252&lt;&gt;"", SUM(INDEX(INDIRECT("'" &amp; B252 &amp; "'.$A$1:$Z$1000"), 0, MATCH("total_assembly_time_min", INDIRECT("'" &amp; B252 &amp; "'.$A$1:$Z$1"), 0)))/60, "")</f>
        <v/>
      </c>
      <c r="G252" s="33" t="str">
        <f aca="false">IF(C252&lt;&gt;"", values!$B$2, "")</f>
        <v/>
      </c>
      <c r="H252" s="33" t="str">
        <f aca="false">IF(C252&lt;&gt;"", F252*G252, "")</f>
        <v/>
      </c>
      <c r="I252" s="33" t="str">
        <f aca="false">IF(C252&lt;&gt;"", H252+E252, "")</f>
        <v/>
      </c>
      <c r="K252" s="33" t="str">
        <f aca="false">IF(C252&lt;&gt;"", L252-I252, "")</f>
        <v/>
      </c>
      <c r="L252" s="33" t="str">
        <f aca="false">IF(C252&lt;&gt;"", I252/(1-J252), "")</f>
        <v/>
      </c>
      <c r="M252" s="33" t="str">
        <f aca="false">IF(C252&lt;&gt;"", values!$A$2, "")</f>
        <v/>
      </c>
      <c r="N252" s="33" t="str">
        <f aca="false">IF(C252&lt;&gt;"", O252-L252, "")</f>
        <v/>
      </c>
      <c r="O252" s="33" t="str">
        <f aca="false">IF(C252&lt;&gt;"", L252/(1-M252), "")</f>
        <v/>
      </c>
    </row>
    <row r="253" customFormat="false" ht="12.8" hidden="false" customHeight="false" outlineLevel="0" collapsed="false">
      <c r="A253" s="1" t="s">
        <v>1460</v>
      </c>
      <c r="B253" s="31" t="s">
        <v>1461</v>
      </c>
      <c r="D253" s="32" t="str">
        <f aca="true">IF(C253&lt;&gt;"", SUM(INDEX(INDIRECT("'" &amp; B253 &amp; "'.$A$1:$Z$1000"), 0, MATCH("count", INDIRECT("'" &amp; B253 &amp; "'.$A$1:$Z$1"), 0))), "")</f>
        <v/>
      </c>
      <c r="E253" s="33" t="str">
        <f aca="true">IF(C253&lt;&gt;"", SUM(INDEX(INDIRECT("'" &amp; B253 &amp; "'.$A$1:$Z$1000"), 0, MATCH("cost", INDIRECT("'" &amp; B253 &amp; "'.$A$1:$Z$1"), 0))), "")</f>
        <v/>
      </c>
      <c r="F253" s="40" t="str">
        <f aca="true">IF(C253&lt;&gt;"", SUM(INDEX(INDIRECT("'" &amp; B253 &amp; "'.$A$1:$Z$1000"), 0, MATCH("total_assembly_time_min", INDIRECT("'" &amp; B253 &amp; "'.$A$1:$Z$1"), 0)))/60, "")</f>
        <v/>
      </c>
      <c r="G253" s="33" t="str">
        <f aca="false">IF(C253&lt;&gt;"", values!$B$2, "")</f>
        <v/>
      </c>
      <c r="H253" s="33" t="str">
        <f aca="false">IF(C253&lt;&gt;"", F253*G253, "")</f>
        <v/>
      </c>
      <c r="I253" s="33" t="str">
        <f aca="false">IF(C253&lt;&gt;"", H253+E253, "")</f>
        <v/>
      </c>
      <c r="K253" s="33" t="str">
        <f aca="false">IF(C253&lt;&gt;"", L253-I253, "")</f>
        <v/>
      </c>
      <c r="L253" s="33" t="str">
        <f aca="false">IF(C253&lt;&gt;"", I253/(1-J253), "")</f>
        <v/>
      </c>
      <c r="M253" s="33" t="str">
        <f aca="false">IF(C253&lt;&gt;"", values!$A$2, "")</f>
        <v/>
      </c>
      <c r="N253" s="33" t="str">
        <f aca="false">IF(C253&lt;&gt;"", O253-L253, "")</f>
        <v/>
      </c>
      <c r="O253" s="33" t="str">
        <f aca="false">IF(C253&lt;&gt;"", L253/(1-M253), "")</f>
        <v/>
      </c>
    </row>
    <row r="254" customFormat="false" ht="12.8" hidden="false" customHeight="false" outlineLevel="0" collapsed="false">
      <c r="A254" s="1" t="s">
        <v>1462</v>
      </c>
      <c r="B254" s="31" t="s">
        <v>1463</v>
      </c>
      <c r="D254" s="32" t="str">
        <f aca="true">IF(C254&lt;&gt;"", SUM(INDEX(INDIRECT("'" &amp; B254 &amp; "'.$A$1:$Z$1000"), 0, MATCH("count", INDIRECT("'" &amp; B254 &amp; "'.$A$1:$Z$1"), 0))), "")</f>
        <v/>
      </c>
      <c r="E254" s="33" t="str">
        <f aca="true">IF(C254&lt;&gt;"", SUM(INDEX(INDIRECT("'" &amp; B254 &amp; "'.$A$1:$Z$1000"), 0, MATCH("cost", INDIRECT("'" &amp; B254 &amp; "'.$A$1:$Z$1"), 0))), "")</f>
        <v/>
      </c>
      <c r="F254" s="40" t="str">
        <f aca="true">IF(C254&lt;&gt;"", SUM(INDEX(INDIRECT("'" &amp; B254 &amp; "'.$A$1:$Z$1000"), 0, MATCH("total_assembly_time_min", INDIRECT("'" &amp; B254 &amp; "'.$A$1:$Z$1"), 0)))/60, "")</f>
        <v/>
      </c>
      <c r="G254" s="33" t="str">
        <f aca="false">IF(C254&lt;&gt;"", values!$B$2, "")</f>
        <v/>
      </c>
      <c r="H254" s="33" t="str">
        <f aca="false">IF(C254&lt;&gt;"", F254*G254, "")</f>
        <v/>
      </c>
      <c r="I254" s="33" t="str">
        <f aca="false">IF(C254&lt;&gt;"", H254+E254, "")</f>
        <v/>
      </c>
      <c r="K254" s="33" t="str">
        <f aca="false">IF(C254&lt;&gt;"", L254-I254, "")</f>
        <v/>
      </c>
      <c r="L254" s="33" t="str">
        <f aca="false">IF(C254&lt;&gt;"", I254/(1-J254), "")</f>
        <v/>
      </c>
      <c r="M254" s="33" t="str">
        <f aca="false">IF(C254&lt;&gt;"", values!$A$2, "")</f>
        <v/>
      </c>
      <c r="N254" s="33" t="str">
        <f aca="false">IF(C254&lt;&gt;"", O254-L254, "")</f>
        <v/>
      </c>
      <c r="O254" s="33" t="str">
        <f aca="false">IF(C254&lt;&gt;"", L254/(1-M254), "")</f>
        <v/>
      </c>
    </row>
    <row r="255" customFormat="false" ht="12.8" hidden="false" customHeight="false" outlineLevel="0" collapsed="false">
      <c r="A255" s="1" t="s">
        <v>1464</v>
      </c>
      <c r="B255" s="31" t="s">
        <v>1465</v>
      </c>
      <c r="D255" s="32" t="str">
        <f aca="true">IF(C255&lt;&gt;"", SUM(INDEX(INDIRECT("'" &amp; B255 &amp; "'.$A$1:$Z$1000"), 0, MATCH("count", INDIRECT("'" &amp; B255 &amp; "'.$A$1:$Z$1"), 0))), "")</f>
        <v/>
      </c>
      <c r="E255" s="33" t="str">
        <f aca="true">IF(C255&lt;&gt;"", SUM(INDEX(INDIRECT("'" &amp; B255 &amp; "'.$A$1:$Z$1000"), 0, MATCH("cost", INDIRECT("'" &amp; B255 &amp; "'.$A$1:$Z$1"), 0))), "")</f>
        <v/>
      </c>
      <c r="F255" s="40" t="str">
        <f aca="true">IF(C255&lt;&gt;"", SUM(INDEX(INDIRECT("'" &amp; B255 &amp; "'.$A$1:$Z$1000"), 0, MATCH("total_assembly_time_min", INDIRECT("'" &amp; B255 &amp; "'.$A$1:$Z$1"), 0)))/60, "")</f>
        <v/>
      </c>
      <c r="G255" s="33" t="str">
        <f aca="false">IF(C255&lt;&gt;"", values!$B$2, "")</f>
        <v/>
      </c>
      <c r="H255" s="33" t="str">
        <f aca="false">IF(C255&lt;&gt;"", F255*G255, "")</f>
        <v/>
      </c>
      <c r="I255" s="33" t="str">
        <f aca="false">IF(C255&lt;&gt;"", H255+E255, "")</f>
        <v/>
      </c>
      <c r="K255" s="33" t="str">
        <f aca="false">IF(C255&lt;&gt;"", L255-I255, "")</f>
        <v/>
      </c>
      <c r="L255" s="33" t="str">
        <f aca="false">IF(C255&lt;&gt;"", I255/(1-J255), "")</f>
        <v/>
      </c>
      <c r="M255" s="33" t="str">
        <f aca="false">IF(C255&lt;&gt;"", values!$A$2, "")</f>
        <v/>
      </c>
      <c r="N255" s="33" t="str">
        <f aca="false">IF(C255&lt;&gt;"", O255-L255, "")</f>
        <v/>
      </c>
      <c r="O255" s="33" t="str">
        <f aca="false">IF(C255&lt;&gt;"", L255/(1-M255), "")</f>
        <v/>
      </c>
    </row>
    <row r="256" customFormat="false" ht="12.8" hidden="false" customHeight="false" outlineLevel="0" collapsed="false">
      <c r="A256" s="1" t="s">
        <v>1466</v>
      </c>
      <c r="B256" s="31" t="s">
        <v>1467</v>
      </c>
      <c r="D256" s="32" t="str">
        <f aca="true">IF(C256&lt;&gt;"", SUM(INDEX(INDIRECT("'" &amp; B256 &amp; "'.$A$1:$Z$1000"), 0, MATCH("count", INDIRECT("'" &amp; B256 &amp; "'.$A$1:$Z$1"), 0))), "")</f>
        <v/>
      </c>
      <c r="E256" s="33" t="str">
        <f aca="true">IF(C256&lt;&gt;"", SUM(INDEX(INDIRECT("'" &amp; B256 &amp; "'.$A$1:$Z$1000"), 0, MATCH("cost", INDIRECT("'" &amp; B256 &amp; "'.$A$1:$Z$1"), 0))), "")</f>
        <v/>
      </c>
      <c r="F256" s="40" t="str">
        <f aca="true">IF(C256&lt;&gt;"", SUM(INDEX(INDIRECT("'" &amp; B256 &amp; "'.$A$1:$Z$1000"), 0, MATCH("total_assembly_time_min", INDIRECT("'" &amp; B256 &amp; "'.$A$1:$Z$1"), 0)))/60, "")</f>
        <v/>
      </c>
      <c r="G256" s="33" t="str">
        <f aca="false">IF(C256&lt;&gt;"", values!$B$2, "")</f>
        <v/>
      </c>
      <c r="H256" s="33" t="str">
        <f aca="false">IF(C256&lt;&gt;"", F256*G256, "")</f>
        <v/>
      </c>
      <c r="I256" s="33" t="str">
        <f aca="false">IF(C256&lt;&gt;"", H256+E256, "")</f>
        <v/>
      </c>
      <c r="K256" s="33" t="str">
        <f aca="false">IF(C256&lt;&gt;"", L256-I256, "")</f>
        <v/>
      </c>
      <c r="L256" s="33" t="str">
        <f aca="false">IF(C256&lt;&gt;"", I256/(1-J256), "")</f>
        <v/>
      </c>
      <c r="M256" s="33" t="str">
        <f aca="false">IF(C256&lt;&gt;"", values!$A$2, "")</f>
        <v/>
      </c>
      <c r="N256" s="33" t="str">
        <f aca="false">IF(C256&lt;&gt;"", O256-L256, "")</f>
        <v/>
      </c>
      <c r="O256" s="33" t="str">
        <f aca="false">IF(C256&lt;&gt;"", L256/(1-M256), "")</f>
        <v/>
      </c>
    </row>
    <row r="257" customFormat="false" ht="12.8" hidden="false" customHeight="false" outlineLevel="0" collapsed="false">
      <c r="A257" s="1" t="s">
        <v>1468</v>
      </c>
      <c r="B257" s="31" t="s">
        <v>1469</v>
      </c>
      <c r="D257" s="32" t="str">
        <f aca="true">IF(C257&lt;&gt;"", SUM(INDEX(INDIRECT("'" &amp; B257 &amp; "'.$A$1:$Z$1000"), 0, MATCH("count", INDIRECT("'" &amp; B257 &amp; "'.$A$1:$Z$1"), 0))), "")</f>
        <v/>
      </c>
      <c r="E257" s="33" t="str">
        <f aca="true">IF(C257&lt;&gt;"", SUM(INDEX(INDIRECT("'" &amp; B257 &amp; "'.$A$1:$Z$1000"), 0, MATCH("cost", INDIRECT("'" &amp; B257 &amp; "'.$A$1:$Z$1"), 0))), "")</f>
        <v/>
      </c>
      <c r="F257" s="40" t="str">
        <f aca="true">IF(C257&lt;&gt;"", SUM(INDEX(INDIRECT("'" &amp; B257 &amp; "'.$A$1:$Z$1000"), 0, MATCH("total_assembly_time_min", INDIRECT("'" &amp; B257 &amp; "'.$A$1:$Z$1"), 0)))/60, "")</f>
        <v/>
      </c>
      <c r="G257" s="33" t="str">
        <f aca="false">IF(C257&lt;&gt;"", values!$B$2, "")</f>
        <v/>
      </c>
      <c r="H257" s="33" t="str">
        <f aca="false">IF(C257&lt;&gt;"", F257*G257, "")</f>
        <v/>
      </c>
      <c r="I257" s="33" t="str">
        <f aca="false">IF(C257&lt;&gt;"", H257+E257, "")</f>
        <v/>
      </c>
      <c r="K257" s="33" t="str">
        <f aca="false">IF(C257&lt;&gt;"", L257-I257, "")</f>
        <v/>
      </c>
      <c r="L257" s="33" t="str">
        <f aca="false">IF(C257&lt;&gt;"", I257/(1-J257), "")</f>
        <v/>
      </c>
      <c r="M257" s="33" t="str">
        <f aca="false">IF(C257&lt;&gt;"", values!$A$2, "")</f>
        <v/>
      </c>
      <c r="N257" s="33" t="str">
        <f aca="false">IF(C257&lt;&gt;"", O257-L257, "")</f>
        <v/>
      </c>
      <c r="O257" s="33" t="str">
        <f aca="false">IF(C257&lt;&gt;"", L257/(1-M257), "")</f>
        <v/>
      </c>
    </row>
    <row r="258" customFormat="false" ht="12.8" hidden="false" customHeight="false" outlineLevel="0" collapsed="false">
      <c r="A258" s="1" t="s">
        <v>1470</v>
      </c>
      <c r="B258" s="31" t="s">
        <v>1471</v>
      </c>
      <c r="D258" s="32" t="str">
        <f aca="true">IF(C258&lt;&gt;"", SUM(INDEX(INDIRECT("'" &amp; B258 &amp; "'.$A$1:$Z$1000"), 0, MATCH("count", INDIRECT("'" &amp; B258 &amp; "'.$A$1:$Z$1"), 0))), "")</f>
        <v/>
      </c>
      <c r="E258" s="33" t="str">
        <f aca="true">IF(C258&lt;&gt;"", SUM(INDEX(INDIRECT("'" &amp; B258 &amp; "'.$A$1:$Z$1000"), 0, MATCH("cost", INDIRECT("'" &amp; B258 &amp; "'.$A$1:$Z$1"), 0))), "")</f>
        <v/>
      </c>
      <c r="F258" s="40" t="str">
        <f aca="true">IF(C258&lt;&gt;"", SUM(INDEX(INDIRECT("'" &amp; B258 &amp; "'.$A$1:$Z$1000"), 0, MATCH("total_assembly_time_min", INDIRECT("'" &amp; B258 &amp; "'.$A$1:$Z$1"), 0)))/60, "")</f>
        <v/>
      </c>
      <c r="G258" s="33" t="str">
        <f aca="false">IF(C258&lt;&gt;"", values!$B$2, "")</f>
        <v/>
      </c>
      <c r="H258" s="33" t="str">
        <f aca="false">IF(C258&lt;&gt;"", F258*G258, "")</f>
        <v/>
      </c>
      <c r="I258" s="33" t="str">
        <f aca="false">IF(C258&lt;&gt;"", H258+E258, "")</f>
        <v/>
      </c>
      <c r="K258" s="33" t="str">
        <f aca="false">IF(C258&lt;&gt;"", L258-I258, "")</f>
        <v/>
      </c>
      <c r="L258" s="33" t="str">
        <f aca="false">IF(C258&lt;&gt;"", I258/(1-J258), "")</f>
        <v/>
      </c>
      <c r="M258" s="33" t="str">
        <f aca="false">IF(C258&lt;&gt;"", values!$A$2, "")</f>
        <v/>
      </c>
      <c r="N258" s="33" t="str">
        <f aca="false">IF(C258&lt;&gt;"", O258-L258, "")</f>
        <v/>
      </c>
      <c r="O258" s="33" t="str">
        <f aca="false">IF(C258&lt;&gt;"", L258/(1-M258), "")</f>
        <v/>
      </c>
    </row>
    <row r="259" customFormat="false" ht="12.8" hidden="false" customHeight="false" outlineLevel="0" collapsed="false">
      <c r="A259" s="1" t="s">
        <v>1472</v>
      </c>
      <c r="B259" s="31" t="s">
        <v>1473</v>
      </c>
      <c r="D259" s="32" t="str">
        <f aca="true">IF(C259&lt;&gt;"", SUM(INDEX(INDIRECT("'" &amp; B259 &amp; "'.$A$1:$Z$1000"), 0, MATCH("count", INDIRECT("'" &amp; B259 &amp; "'.$A$1:$Z$1"), 0))), "")</f>
        <v/>
      </c>
      <c r="E259" s="33" t="str">
        <f aca="true">IF(C259&lt;&gt;"", SUM(INDEX(INDIRECT("'" &amp; B259 &amp; "'.$A$1:$Z$1000"), 0, MATCH("cost", INDIRECT("'" &amp; B259 &amp; "'.$A$1:$Z$1"), 0))), "")</f>
        <v/>
      </c>
      <c r="F259" s="40" t="str">
        <f aca="true">IF(C259&lt;&gt;"", SUM(INDEX(INDIRECT("'" &amp; B259 &amp; "'.$A$1:$Z$1000"), 0, MATCH("total_assembly_time_min", INDIRECT("'" &amp; B259 &amp; "'.$A$1:$Z$1"), 0)))/60, "")</f>
        <v/>
      </c>
      <c r="G259" s="33" t="str">
        <f aca="false">IF(C259&lt;&gt;"", values!$B$2, "")</f>
        <v/>
      </c>
      <c r="H259" s="33" t="str">
        <f aca="false">IF(C259&lt;&gt;"", F259*G259, "")</f>
        <v/>
      </c>
      <c r="I259" s="33" t="str">
        <f aca="false">IF(C259&lt;&gt;"", H259+E259, "")</f>
        <v/>
      </c>
      <c r="K259" s="33" t="str">
        <f aca="false">IF(C259&lt;&gt;"", L259-I259, "")</f>
        <v/>
      </c>
      <c r="L259" s="33" t="str">
        <f aca="false">IF(C259&lt;&gt;"", I259/(1-J259), "")</f>
        <v/>
      </c>
      <c r="M259" s="33" t="str">
        <f aca="false">IF(C259&lt;&gt;"", values!$A$2, "")</f>
        <v/>
      </c>
      <c r="N259" s="33" t="str">
        <f aca="false">IF(C259&lt;&gt;"", O259-L259, "")</f>
        <v/>
      </c>
      <c r="O259" s="33" t="str">
        <f aca="false">IF(C259&lt;&gt;"", L259/(1-M259), "")</f>
        <v/>
      </c>
    </row>
    <row r="260" customFormat="false" ht="12.8" hidden="false" customHeight="false" outlineLevel="0" collapsed="false">
      <c r="A260" s="1" t="s">
        <v>1474</v>
      </c>
      <c r="B260" s="31" t="s">
        <v>1475</v>
      </c>
      <c r="D260" s="32" t="str">
        <f aca="true">IF(C260&lt;&gt;"", SUM(INDEX(INDIRECT("'" &amp; B260 &amp; "'.$A$1:$Z$1000"), 0, MATCH("count", INDIRECT("'" &amp; B260 &amp; "'.$A$1:$Z$1"), 0))), "")</f>
        <v/>
      </c>
      <c r="E260" s="33" t="str">
        <f aca="true">IF(C260&lt;&gt;"", SUM(INDEX(INDIRECT("'" &amp; B260 &amp; "'.$A$1:$Z$1000"), 0, MATCH("cost", INDIRECT("'" &amp; B260 &amp; "'.$A$1:$Z$1"), 0))), "")</f>
        <v/>
      </c>
      <c r="F260" s="40" t="str">
        <f aca="true">IF(C260&lt;&gt;"", SUM(INDEX(INDIRECT("'" &amp; B260 &amp; "'.$A$1:$Z$1000"), 0, MATCH("total_assembly_time_min", INDIRECT("'" &amp; B260 &amp; "'.$A$1:$Z$1"), 0)))/60, "")</f>
        <v/>
      </c>
      <c r="G260" s="33" t="str">
        <f aca="false">IF(C260&lt;&gt;"", values!$B$2, "")</f>
        <v/>
      </c>
      <c r="H260" s="33" t="str">
        <f aca="false">IF(C260&lt;&gt;"", F260*G260, "")</f>
        <v/>
      </c>
      <c r="I260" s="33" t="str">
        <f aca="false">IF(C260&lt;&gt;"", H260+E260, "")</f>
        <v/>
      </c>
      <c r="K260" s="33" t="str">
        <f aca="false">IF(C260&lt;&gt;"", L260-I260, "")</f>
        <v/>
      </c>
      <c r="L260" s="33" t="str">
        <f aca="false">IF(C260&lt;&gt;"", I260/(1-J260), "")</f>
        <v/>
      </c>
      <c r="M260" s="33" t="str">
        <f aca="false">IF(C260&lt;&gt;"", values!$A$2, "")</f>
        <v/>
      </c>
      <c r="N260" s="33" t="str">
        <f aca="false">IF(C260&lt;&gt;"", O260-L260, "")</f>
        <v/>
      </c>
      <c r="O260" s="33" t="str">
        <f aca="false">IF(C260&lt;&gt;"", L260/(1-M260), "")</f>
        <v/>
      </c>
    </row>
    <row r="261" customFormat="false" ht="12.8" hidden="false" customHeight="false" outlineLevel="0" collapsed="false">
      <c r="A261" s="1" t="s">
        <v>1476</v>
      </c>
      <c r="B261" s="31" t="s">
        <v>1477</v>
      </c>
      <c r="D261" s="32" t="str">
        <f aca="true">IF(C261&lt;&gt;"", SUM(INDEX(INDIRECT("'" &amp; B261 &amp; "'.$A$1:$Z$1000"), 0, MATCH("count", INDIRECT("'" &amp; B261 &amp; "'.$A$1:$Z$1"), 0))), "")</f>
        <v/>
      </c>
      <c r="E261" s="33" t="str">
        <f aca="true">IF(C261&lt;&gt;"", SUM(INDEX(INDIRECT("'" &amp; B261 &amp; "'.$A$1:$Z$1000"), 0, MATCH("cost", INDIRECT("'" &amp; B261 &amp; "'.$A$1:$Z$1"), 0))), "")</f>
        <v/>
      </c>
      <c r="F261" s="40" t="str">
        <f aca="true">IF(C261&lt;&gt;"", SUM(INDEX(INDIRECT("'" &amp; B261 &amp; "'.$A$1:$Z$1000"), 0, MATCH("total_assembly_time_min", INDIRECT("'" &amp; B261 &amp; "'.$A$1:$Z$1"), 0)))/60, "")</f>
        <v/>
      </c>
      <c r="G261" s="33" t="str">
        <f aca="false">IF(C261&lt;&gt;"", values!$B$2, "")</f>
        <v/>
      </c>
      <c r="H261" s="33" t="str">
        <f aca="false">IF(C261&lt;&gt;"", F261*G261, "")</f>
        <v/>
      </c>
      <c r="I261" s="33" t="str">
        <f aca="false">IF(C261&lt;&gt;"", H261+E261, "")</f>
        <v/>
      </c>
      <c r="K261" s="33" t="str">
        <f aca="false">IF(C261&lt;&gt;"", L261-I261, "")</f>
        <v/>
      </c>
      <c r="L261" s="33" t="str">
        <f aca="false">IF(C261&lt;&gt;"", I261/(1-J261), "")</f>
        <v/>
      </c>
      <c r="M261" s="33" t="str">
        <f aca="false">IF(C261&lt;&gt;"", values!$A$2, "")</f>
        <v/>
      </c>
      <c r="N261" s="33" t="str">
        <f aca="false">IF(C261&lt;&gt;"", O261-L261, "")</f>
        <v/>
      </c>
      <c r="O261" s="33" t="str">
        <f aca="false">IF(C261&lt;&gt;"", L261/(1-M261), "")</f>
        <v/>
      </c>
    </row>
    <row r="262" customFormat="false" ht="12.8" hidden="false" customHeight="false" outlineLevel="0" collapsed="false">
      <c r="A262" s="1" t="s">
        <v>1478</v>
      </c>
      <c r="B262" s="31" t="s">
        <v>1479</v>
      </c>
      <c r="D262" s="32" t="str">
        <f aca="true">IF(C262&lt;&gt;"", SUM(INDEX(INDIRECT("'" &amp; B262 &amp; "'.$A$1:$Z$1000"), 0, MATCH("count", INDIRECT("'" &amp; B262 &amp; "'.$A$1:$Z$1"), 0))), "")</f>
        <v/>
      </c>
      <c r="E262" s="33" t="str">
        <f aca="true">IF(C262&lt;&gt;"", SUM(INDEX(INDIRECT("'" &amp; B262 &amp; "'.$A$1:$Z$1000"), 0, MATCH("cost", INDIRECT("'" &amp; B262 &amp; "'.$A$1:$Z$1"), 0))), "")</f>
        <v/>
      </c>
      <c r="F262" s="40" t="str">
        <f aca="true">IF(C262&lt;&gt;"", SUM(INDEX(INDIRECT("'" &amp; B262 &amp; "'.$A$1:$Z$1000"), 0, MATCH("total_assembly_time_min", INDIRECT("'" &amp; B262 &amp; "'.$A$1:$Z$1"), 0)))/60, "")</f>
        <v/>
      </c>
      <c r="G262" s="33" t="str">
        <f aca="false">IF(C262&lt;&gt;"", values!$B$2, "")</f>
        <v/>
      </c>
      <c r="H262" s="33" t="str">
        <f aca="false">IF(C262&lt;&gt;"", F262*G262, "")</f>
        <v/>
      </c>
      <c r="I262" s="33" t="str">
        <f aca="false">IF(C262&lt;&gt;"", H262+E262, "")</f>
        <v/>
      </c>
      <c r="K262" s="33" t="str">
        <f aca="false">IF(C262&lt;&gt;"", L262-I262, "")</f>
        <v/>
      </c>
      <c r="L262" s="33" t="str">
        <f aca="false">IF(C262&lt;&gt;"", I262/(1-J262), "")</f>
        <v/>
      </c>
      <c r="M262" s="33" t="str">
        <f aca="false">IF(C262&lt;&gt;"", values!$A$2, "")</f>
        <v/>
      </c>
      <c r="N262" s="33" t="str">
        <f aca="false">IF(C262&lt;&gt;"", O262-L262, "")</f>
        <v/>
      </c>
      <c r="O262" s="33" t="str">
        <f aca="false">IF(C262&lt;&gt;"", L262/(1-M262), "")</f>
        <v/>
      </c>
    </row>
    <row r="263" customFormat="false" ht="12.8" hidden="false" customHeight="false" outlineLevel="0" collapsed="false">
      <c r="A263" s="1" t="s">
        <v>1480</v>
      </c>
      <c r="B263" s="31" t="s">
        <v>1481</v>
      </c>
      <c r="D263" s="32" t="str">
        <f aca="true">IF(C263&lt;&gt;"", SUM(INDEX(INDIRECT("'" &amp; B263 &amp; "'.$A$1:$Z$1000"), 0, MATCH("count", INDIRECT("'" &amp; B263 &amp; "'.$A$1:$Z$1"), 0))), "")</f>
        <v/>
      </c>
      <c r="E263" s="33" t="str">
        <f aca="true">IF(C263&lt;&gt;"", SUM(INDEX(INDIRECT("'" &amp; B263 &amp; "'.$A$1:$Z$1000"), 0, MATCH("cost", INDIRECT("'" &amp; B263 &amp; "'.$A$1:$Z$1"), 0))), "")</f>
        <v/>
      </c>
      <c r="F263" s="40" t="str">
        <f aca="true">IF(C263&lt;&gt;"", SUM(INDEX(INDIRECT("'" &amp; B263 &amp; "'.$A$1:$Z$1000"), 0, MATCH("total_assembly_time_min", INDIRECT("'" &amp; B263 &amp; "'.$A$1:$Z$1"), 0)))/60, "")</f>
        <v/>
      </c>
      <c r="G263" s="33" t="str">
        <f aca="false">IF(C263&lt;&gt;"", values!$B$2, "")</f>
        <v/>
      </c>
      <c r="H263" s="33" t="str">
        <f aca="false">IF(C263&lt;&gt;"", F263*G263, "")</f>
        <v/>
      </c>
      <c r="I263" s="33" t="str">
        <f aca="false">IF(C263&lt;&gt;"", H263+E263, "")</f>
        <v/>
      </c>
      <c r="K263" s="33" t="str">
        <f aca="false">IF(C263&lt;&gt;"", L263-I263, "")</f>
        <v/>
      </c>
      <c r="L263" s="33" t="str">
        <f aca="false">IF(C263&lt;&gt;"", I263/(1-J263), "")</f>
        <v/>
      </c>
      <c r="M263" s="33" t="str">
        <f aca="false">IF(C263&lt;&gt;"", values!$A$2, "")</f>
        <v/>
      </c>
      <c r="N263" s="33" t="str">
        <f aca="false">IF(C263&lt;&gt;"", O263-L263, "")</f>
        <v/>
      </c>
      <c r="O263" s="33" t="str">
        <f aca="false">IF(C263&lt;&gt;"", L263/(1-M263), "")</f>
        <v/>
      </c>
    </row>
    <row r="264" customFormat="false" ht="12.8" hidden="false" customHeight="false" outlineLevel="0" collapsed="false">
      <c r="A264" s="1" t="s">
        <v>1482</v>
      </c>
      <c r="B264" s="31" t="s">
        <v>1483</v>
      </c>
      <c r="D264" s="32" t="str">
        <f aca="true">IF(C264&lt;&gt;"", SUM(INDEX(INDIRECT("'" &amp; B264 &amp; "'.$A$1:$Z$1000"), 0, MATCH("count", INDIRECT("'" &amp; B264 &amp; "'.$A$1:$Z$1"), 0))), "")</f>
        <v/>
      </c>
      <c r="E264" s="33" t="str">
        <f aca="true">IF(C264&lt;&gt;"", SUM(INDEX(INDIRECT("'" &amp; B264 &amp; "'.$A$1:$Z$1000"), 0, MATCH("cost", INDIRECT("'" &amp; B264 &amp; "'.$A$1:$Z$1"), 0))), "")</f>
        <v/>
      </c>
      <c r="F264" s="40" t="str">
        <f aca="true">IF(C264&lt;&gt;"", SUM(INDEX(INDIRECT("'" &amp; B264 &amp; "'.$A$1:$Z$1000"), 0, MATCH("total_assembly_time_min", INDIRECT("'" &amp; B264 &amp; "'.$A$1:$Z$1"), 0)))/60, "")</f>
        <v/>
      </c>
      <c r="G264" s="33" t="str">
        <f aca="false">IF(C264&lt;&gt;"", values!$B$2, "")</f>
        <v/>
      </c>
      <c r="H264" s="33" t="str">
        <f aca="false">IF(C264&lt;&gt;"", F264*G264, "")</f>
        <v/>
      </c>
      <c r="I264" s="33" t="str">
        <f aca="false">IF(C264&lt;&gt;"", H264+E264, "")</f>
        <v/>
      </c>
      <c r="K264" s="33" t="str">
        <f aca="false">IF(C264&lt;&gt;"", L264-I264, "")</f>
        <v/>
      </c>
      <c r="L264" s="33" t="str">
        <f aca="false">IF(C264&lt;&gt;"", I264/(1-J264), "")</f>
        <v/>
      </c>
      <c r="M264" s="33" t="str">
        <f aca="false">IF(C264&lt;&gt;"", values!$A$2, "")</f>
        <v/>
      </c>
      <c r="N264" s="33" t="str">
        <f aca="false">IF(C264&lt;&gt;"", O264-L264, "")</f>
        <v/>
      </c>
      <c r="O264" s="33" t="str">
        <f aca="false">IF(C264&lt;&gt;"", L264/(1-M264), "")</f>
        <v/>
      </c>
    </row>
    <row r="265" customFormat="false" ht="12.8" hidden="false" customHeight="false" outlineLevel="0" collapsed="false">
      <c r="A265" s="1" t="s">
        <v>1484</v>
      </c>
      <c r="B265" s="31" t="s">
        <v>1485</v>
      </c>
      <c r="D265" s="32" t="str">
        <f aca="true">IF(C265&lt;&gt;"", SUM(INDEX(INDIRECT("'" &amp; B265 &amp; "'.$A$1:$Z$1000"), 0, MATCH("count", INDIRECT("'" &amp; B265 &amp; "'.$A$1:$Z$1"), 0))), "")</f>
        <v/>
      </c>
      <c r="E265" s="33" t="str">
        <f aca="true">IF(C265&lt;&gt;"", SUM(INDEX(INDIRECT("'" &amp; B265 &amp; "'.$A$1:$Z$1000"), 0, MATCH("cost", INDIRECT("'" &amp; B265 &amp; "'.$A$1:$Z$1"), 0))), "")</f>
        <v/>
      </c>
      <c r="F265" s="40" t="str">
        <f aca="true">IF(C265&lt;&gt;"", SUM(INDEX(INDIRECT("'" &amp; B265 &amp; "'.$A$1:$Z$1000"), 0, MATCH("total_assembly_time_min", INDIRECT("'" &amp; B265 &amp; "'.$A$1:$Z$1"), 0)))/60, "")</f>
        <v/>
      </c>
      <c r="G265" s="33" t="str">
        <f aca="false">IF(C265&lt;&gt;"", values!$B$2, "")</f>
        <v/>
      </c>
      <c r="H265" s="33" t="str">
        <f aca="false">IF(C265&lt;&gt;"", F265*G265, "")</f>
        <v/>
      </c>
      <c r="I265" s="33" t="str">
        <f aca="false">IF(C265&lt;&gt;"", H265+E265, "")</f>
        <v/>
      </c>
      <c r="K265" s="33" t="str">
        <f aca="false">IF(C265&lt;&gt;"", L265-I265, "")</f>
        <v/>
      </c>
      <c r="L265" s="33" t="str">
        <f aca="false">IF(C265&lt;&gt;"", I265/(1-J265), "")</f>
        <v/>
      </c>
      <c r="M265" s="33" t="str">
        <f aca="false">IF(C265&lt;&gt;"", values!$A$2, "")</f>
        <v/>
      </c>
      <c r="N265" s="33" t="str">
        <f aca="false">IF(C265&lt;&gt;"", O265-L265, "")</f>
        <v/>
      </c>
      <c r="O265" s="33" t="str">
        <f aca="false">IF(C265&lt;&gt;"", L265/(1-M265), "")</f>
        <v/>
      </c>
    </row>
    <row r="266" customFormat="false" ht="12.8" hidden="false" customHeight="false" outlineLevel="0" collapsed="false">
      <c r="A266" s="1" t="s">
        <v>1486</v>
      </c>
      <c r="B266" s="31" t="s">
        <v>1487</v>
      </c>
      <c r="D266" s="32" t="str">
        <f aca="true">IF(C266&lt;&gt;"", SUM(INDEX(INDIRECT("'" &amp; B266 &amp; "'.$A$1:$Z$1000"), 0, MATCH("count", INDIRECT("'" &amp; B266 &amp; "'.$A$1:$Z$1"), 0))), "")</f>
        <v/>
      </c>
      <c r="E266" s="33" t="str">
        <f aca="true">IF(C266&lt;&gt;"", SUM(INDEX(INDIRECT("'" &amp; B266 &amp; "'.$A$1:$Z$1000"), 0, MATCH("cost", INDIRECT("'" &amp; B266 &amp; "'.$A$1:$Z$1"), 0))), "")</f>
        <v/>
      </c>
      <c r="F266" s="40" t="str">
        <f aca="true">IF(C266&lt;&gt;"", SUM(INDEX(INDIRECT("'" &amp; B266 &amp; "'.$A$1:$Z$1000"), 0, MATCH("total_assembly_time_min", INDIRECT("'" &amp; B266 &amp; "'.$A$1:$Z$1"), 0)))/60, "")</f>
        <v/>
      </c>
      <c r="G266" s="33" t="str">
        <f aca="false">IF(C266&lt;&gt;"", values!$B$2, "")</f>
        <v/>
      </c>
      <c r="H266" s="33" t="str">
        <f aca="false">IF(C266&lt;&gt;"", F266*G266, "")</f>
        <v/>
      </c>
      <c r="I266" s="33" t="str">
        <f aca="false">IF(C266&lt;&gt;"", H266+E266, "")</f>
        <v/>
      </c>
      <c r="K266" s="33" t="str">
        <f aca="false">IF(C266&lt;&gt;"", L266-I266, "")</f>
        <v/>
      </c>
      <c r="L266" s="33" t="str">
        <f aca="false">IF(C266&lt;&gt;"", I266/(1-J266), "")</f>
        <v/>
      </c>
      <c r="M266" s="33" t="str">
        <f aca="false">IF(C266&lt;&gt;"", values!$A$2, "")</f>
        <v/>
      </c>
      <c r="N266" s="33" t="str">
        <f aca="false">IF(C266&lt;&gt;"", O266-L266, "")</f>
        <v/>
      </c>
      <c r="O266" s="33" t="str">
        <f aca="false">IF(C266&lt;&gt;"", L266/(1-M266), "")</f>
        <v/>
      </c>
    </row>
    <row r="267" customFormat="false" ht="12.8" hidden="false" customHeight="false" outlineLevel="0" collapsed="false">
      <c r="A267" s="1" t="s">
        <v>1488</v>
      </c>
      <c r="B267" s="31" t="s">
        <v>1489</v>
      </c>
      <c r="D267" s="32" t="str">
        <f aca="true">IF(C267&lt;&gt;"", SUM(INDEX(INDIRECT("'" &amp; B267 &amp; "'.$A$1:$Z$1000"), 0, MATCH("count", INDIRECT("'" &amp; B267 &amp; "'.$A$1:$Z$1"), 0))), "")</f>
        <v/>
      </c>
      <c r="E267" s="33" t="str">
        <f aca="true">IF(C267&lt;&gt;"", SUM(INDEX(INDIRECT("'" &amp; B267 &amp; "'.$A$1:$Z$1000"), 0, MATCH("cost", INDIRECT("'" &amp; B267 &amp; "'.$A$1:$Z$1"), 0))), "")</f>
        <v/>
      </c>
      <c r="F267" s="40" t="str">
        <f aca="true">IF(C267&lt;&gt;"", SUM(INDEX(INDIRECT("'" &amp; B267 &amp; "'.$A$1:$Z$1000"), 0, MATCH("total_assembly_time_min", INDIRECT("'" &amp; B267 &amp; "'.$A$1:$Z$1"), 0)))/60, "")</f>
        <v/>
      </c>
      <c r="G267" s="33" t="str">
        <f aca="false">IF(C267&lt;&gt;"", values!$B$2, "")</f>
        <v/>
      </c>
      <c r="H267" s="33" t="str">
        <f aca="false">IF(C267&lt;&gt;"", F267*G267, "")</f>
        <v/>
      </c>
      <c r="I267" s="33" t="str">
        <f aca="false">IF(C267&lt;&gt;"", H267+E267, "")</f>
        <v/>
      </c>
      <c r="K267" s="33" t="str">
        <f aca="false">IF(C267&lt;&gt;"", L267-I267, "")</f>
        <v/>
      </c>
      <c r="L267" s="33" t="str">
        <f aca="false">IF(C267&lt;&gt;"", I267/(1-J267), "")</f>
        <v/>
      </c>
      <c r="M267" s="33" t="str">
        <f aca="false">IF(C267&lt;&gt;"", values!$A$2, "")</f>
        <v/>
      </c>
      <c r="N267" s="33" t="str">
        <f aca="false">IF(C267&lt;&gt;"", O267-L267, "")</f>
        <v/>
      </c>
      <c r="O267" s="33" t="str">
        <f aca="false">IF(C267&lt;&gt;"", L267/(1-M267), "")</f>
        <v/>
      </c>
    </row>
    <row r="268" customFormat="false" ht="12.8" hidden="false" customHeight="false" outlineLevel="0" collapsed="false">
      <c r="A268" s="1" t="s">
        <v>1490</v>
      </c>
      <c r="B268" s="31" t="s">
        <v>1491</v>
      </c>
      <c r="D268" s="32" t="str">
        <f aca="true">IF(C268&lt;&gt;"", SUM(INDEX(INDIRECT("'" &amp; B268 &amp; "'.$A$1:$Z$1000"), 0, MATCH("count", INDIRECT("'" &amp; B268 &amp; "'.$A$1:$Z$1"), 0))), "")</f>
        <v/>
      </c>
      <c r="E268" s="33" t="str">
        <f aca="true">IF(C268&lt;&gt;"", SUM(INDEX(INDIRECT("'" &amp; B268 &amp; "'.$A$1:$Z$1000"), 0, MATCH("cost", INDIRECT("'" &amp; B268 &amp; "'.$A$1:$Z$1"), 0))), "")</f>
        <v/>
      </c>
      <c r="F268" s="40" t="str">
        <f aca="true">IF(C268&lt;&gt;"", SUM(INDEX(INDIRECT("'" &amp; B268 &amp; "'.$A$1:$Z$1000"), 0, MATCH("total_assembly_time_min", INDIRECT("'" &amp; B268 &amp; "'.$A$1:$Z$1"), 0)))/60, "")</f>
        <v/>
      </c>
      <c r="G268" s="33" t="str">
        <f aca="false">IF(C268&lt;&gt;"", values!$B$2, "")</f>
        <v/>
      </c>
      <c r="H268" s="33" t="str">
        <f aca="false">IF(C268&lt;&gt;"", F268*G268, "")</f>
        <v/>
      </c>
      <c r="I268" s="33" t="str">
        <f aca="false">IF(C268&lt;&gt;"", H268+E268, "")</f>
        <v/>
      </c>
      <c r="K268" s="33" t="str">
        <f aca="false">IF(C268&lt;&gt;"", L268-I268, "")</f>
        <v/>
      </c>
      <c r="L268" s="33" t="str">
        <f aca="false">IF(C268&lt;&gt;"", I268/(1-J268), "")</f>
        <v/>
      </c>
      <c r="M268" s="33" t="str">
        <f aca="false">IF(C268&lt;&gt;"", values!$A$2, "")</f>
        <v/>
      </c>
      <c r="N268" s="33" t="str">
        <f aca="false">IF(C268&lt;&gt;"", O268-L268, "")</f>
        <v/>
      </c>
      <c r="O268" s="33" t="str">
        <f aca="false">IF(C268&lt;&gt;"", L268/(1-M268), "")</f>
        <v/>
      </c>
    </row>
    <row r="269" customFormat="false" ht="12.8" hidden="false" customHeight="false" outlineLevel="0" collapsed="false">
      <c r="A269" s="1" t="s">
        <v>1492</v>
      </c>
      <c r="B269" s="31" t="s">
        <v>1493</v>
      </c>
      <c r="D269" s="32" t="str">
        <f aca="true">IF(C269&lt;&gt;"", SUM(INDEX(INDIRECT("'" &amp; B269 &amp; "'.$A$1:$Z$1000"), 0, MATCH("count", INDIRECT("'" &amp; B269 &amp; "'.$A$1:$Z$1"), 0))), "")</f>
        <v/>
      </c>
      <c r="E269" s="33" t="str">
        <f aca="true">IF(C269&lt;&gt;"", SUM(INDEX(INDIRECT("'" &amp; B269 &amp; "'.$A$1:$Z$1000"), 0, MATCH("cost", INDIRECT("'" &amp; B269 &amp; "'.$A$1:$Z$1"), 0))), "")</f>
        <v/>
      </c>
      <c r="F269" s="40" t="str">
        <f aca="true">IF(C269&lt;&gt;"", SUM(INDEX(INDIRECT("'" &amp; B269 &amp; "'.$A$1:$Z$1000"), 0, MATCH("total_assembly_time_min", INDIRECT("'" &amp; B269 &amp; "'.$A$1:$Z$1"), 0)))/60, "")</f>
        <v/>
      </c>
      <c r="G269" s="33" t="str">
        <f aca="false">IF(C269&lt;&gt;"", values!$B$2, "")</f>
        <v/>
      </c>
      <c r="H269" s="33" t="str">
        <f aca="false">IF(C269&lt;&gt;"", F269*G269, "")</f>
        <v/>
      </c>
      <c r="I269" s="33" t="str">
        <f aca="false">IF(C269&lt;&gt;"", H269+E269, "")</f>
        <v/>
      </c>
      <c r="K269" s="33" t="str">
        <f aca="false">IF(C269&lt;&gt;"", L269-I269, "")</f>
        <v/>
      </c>
      <c r="L269" s="33" t="str">
        <f aca="false">IF(C269&lt;&gt;"", I269/(1-J269), "")</f>
        <v/>
      </c>
      <c r="M269" s="33" t="str">
        <f aca="false">IF(C269&lt;&gt;"", values!$A$2, "")</f>
        <v/>
      </c>
      <c r="N269" s="33" t="str">
        <f aca="false">IF(C269&lt;&gt;"", O269-L269, "")</f>
        <v/>
      </c>
      <c r="O269" s="33" t="str">
        <f aca="false">IF(C269&lt;&gt;"", L269/(1-M269), "")</f>
        <v/>
      </c>
    </row>
    <row r="270" customFormat="false" ht="12.8" hidden="false" customHeight="false" outlineLevel="0" collapsed="false">
      <c r="A270" s="1" t="s">
        <v>1494</v>
      </c>
      <c r="B270" s="31" t="s">
        <v>1495</v>
      </c>
      <c r="D270" s="32" t="str">
        <f aca="true">IF(C270&lt;&gt;"", SUM(INDEX(INDIRECT("'" &amp; B270 &amp; "'.$A$1:$Z$1000"), 0, MATCH("count", INDIRECT("'" &amp; B270 &amp; "'.$A$1:$Z$1"), 0))), "")</f>
        <v/>
      </c>
      <c r="E270" s="33" t="str">
        <f aca="true">IF(C270&lt;&gt;"", SUM(INDEX(INDIRECT("'" &amp; B270 &amp; "'.$A$1:$Z$1000"), 0, MATCH("cost", INDIRECT("'" &amp; B270 &amp; "'.$A$1:$Z$1"), 0))), "")</f>
        <v/>
      </c>
      <c r="F270" s="40" t="str">
        <f aca="true">IF(C270&lt;&gt;"", SUM(INDEX(INDIRECT("'" &amp; B270 &amp; "'.$A$1:$Z$1000"), 0, MATCH("total_assembly_time_min", INDIRECT("'" &amp; B270 &amp; "'.$A$1:$Z$1"), 0)))/60, "")</f>
        <v/>
      </c>
      <c r="G270" s="33" t="str">
        <f aca="false">IF(C270&lt;&gt;"", values!$B$2, "")</f>
        <v/>
      </c>
      <c r="H270" s="33" t="str">
        <f aca="false">IF(C270&lt;&gt;"", F270*G270, "")</f>
        <v/>
      </c>
      <c r="I270" s="33" t="str">
        <f aca="false">IF(C270&lt;&gt;"", H270+E270, "")</f>
        <v/>
      </c>
      <c r="K270" s="33" t="str">
        <f aca="false">IF(C270&lt;&gt;"", L270-I270, "")</f>
        <v/>
      </c>
      <c r="L270" s="33" t="str">
        <f aca="false">IF(C270&lt;&gt;"", I270/(1-J270), "")</f>
        <v/>
      </c>
      <c r="M270" s="33" t="str">
        <f aca="false">IF(C270&lt;&gt;"", values!$A$2, "")</f>
        <v/>
      </c>
      <c r="N270" s="33" t="str">
        <f aca="false">IF(C270&lt;&gt;"", O270-L270, "")</f>
        <v/>
      </c>
      <c r="O270" s="33" t="str">
        <f aca="false">IF(C270&lt;&gt;"", L270/(1-M270), "")</f>
        <v/>
      </c>
    </row>
    <row r="271" customFormat="false" ht="12.8" hidden="false" customHeight="false" outlineLevel="0" collapsed="false">
      <c r="A271" s="1" t="s">
        <v>1496</v>
      </c>
      <c r="B271" s="31" t="s">
        <v>1497</v>
      </c>
      <c r="D271" s="32" t="str">
        <f aca="true">IF(C271&lt;&gt;"", SUM(INDEX(INDIRECT("'" &amp; B271 &amp; "'.$A$1:$Z$1000"), 0, MATCH("count", INDIRECT("'" &amp; B271 &amp; "'.$A$1:$Z$1"), 0))), "")</f>
        <v/>
      </c>
      <c r="E271" s="33" t="str">
        <f aca="true">IF(C271&lt;&gt;"", SUM(INDEX(INDIRECT("'" &amp; B271 &amp; "'.$A$1:$Z$1000"), 0, MATCH("cost", INDIRECT("'" &amp; B271 &amp; "'.$A$1:$Z$1"), 0))), "")</f>
        <v/>
      </c>
      <c r="F271" s="40" t="str">
        <f aca="true">IF(C271&lt;&gt;"", SUM(INDEX(INDIRECT("'" &amp; B271 &amp; "'.$A$1:$Z$1000"), 0, MATCH("total_assembly_time_min", INDIRECT("'" &amp; B271 &amp; "'.$A$1:$Z$1"), 0)))/60, "")</f>
        <v/>
      </c>
      <c r="G271" s="33" t="str">
        <f aca="false">IF(C271&lt;&gt;"", values!$B$2, "")</f>
        <v/>
      </c>
      <c r="H271" s="33" t="str">
        <f aca="false">IF(C271&lt;&gt;"", F271*G271, "")</f>
        <v/>
      </c>
      <c r="I271" s="33" t="str">
        <f aca="false">IF(C271&lt;&gt;"", H271+E271, "")</f>
        <v/>
      </c>
      <c r="K271" s="33" t="str">
        <f aca="false">IF(C271&lt;&gt;"", L271-I271, "")</f>
        <v/>
      </c>
      <c r="L271" s="33" t="str">
        <f aca="false">IF(C271&lt;&gt;"", I271/(1-J271), "")</f>
        <v/>
      </c>
      <c r="M271" s="33" t="str">
        <f aca="false">IF(C271&lt;&gt;"", values!$A$2, "")</f>
        <v/>
      </c>
      <c r="N271" s="33" t="str">
        <f aca="false">IF(C271&lt;&gt;"", O271-L271, "")</f>
        <v/>
      </c>
      <c r="O271" s="33" t="str">
        <f aca="false">IF(C271&lt;&gt;"", L271/(1-M271), "")</f>
        <v/>
      </c>
    </row>
    <row r="272" customFormat="false" ht="12.8" hidden="false" customHeight="false" outlineLevel="0" collapsed="false">
      <c r="A272" s="1" t="s">
        <v>1498</v>
      </c>
      <c r="B272" s="31" t="s">
        <v>1499</v>
      </c>
      <c r="D272" s="32" t="str">
        <f aca="true">IF(C272&lt;&gt;"", SUM(INDEX(INDIRECT("'" &amp; B272 &amp; "'.$A$1:$Z$1000"), 0, MATCH("count", INDIRECT("'" &amp; B272 &amp; "'.$A$1:$Z$1"), 0))), "")</f>
        <v/>
      </c>
      <c r="E272" s="33" t="str">
        <f aca="true">IF(C272&lt;&gt;"", SUM(INDEX(INDIRECT("'" &amp; B272 &amp; "'.$A$1:$Z$1000"), 0, MATCH("cost", INDIRECT("'" &amp; B272 &amp; "'.$A$1:$Z$1"), 0))), "")</f>
        <v/>
      </c>
      <c r="F272" s="40" t="str">
        <f aca="true">IF(C272&lt;&gt;"", SUM(INDEX(INDIRECT("'" &amp; B272 &amp; "'.$A$1:$Z$1000"), 0, MATCH("total_assembly_time_min", INDIRECT("'" &amp; B272 &amp; "'.$A$1:$Z$1"), 0)))/60, "")</f>
        <v/>
      </c>
      <c r="G272" s="33" t="str">
        <f aca="false">IF(C272&lt;&gt;"", values!$B$2, "")</f>
        <v/>
      </c>
      <c r="H272" s="33" t="str">
        <f aca="false">IF(C272&lt;&gt;"", F272*G272, "")</f>
        <v/>
      </c>
      <c r="I272" s="33" t="str">
        <f aca="false">IF(C272&lt;&gt;"", H272+E272, "")</f>
        <v/>
      </c>
      <c r="K272" s="33" t="str">
        <f aca="false">IF(C272&lt;&gt;"", L272-I272, "")</f>
        <v/>
      </c>
      <c r="L272" s="33" t="str">
        <f aca="false">IF(C272&lt;&gt;"", I272/(1-J272), "")</f>
        <v/>
      </c>
      <c r="M272" s="33" t="str">
        <f aca="false">IF(C272&lt;&gt;"", values!$A$2, "")</f>
        <v/>
      </c>
      <c r="N272" s="33" t="str">
        <f aca="false">IF(C272&lt;&gt;"", O272-L272, "")</f>
        <v/>
      </c>
      <c r="O272" s="33" t="str">
        <f aca="false">IF(C272&lt;&gt;"", L272/(1-M272), "")</f>
        <v/>
      </c>
    </row>
    <row r="273" customFormat="false" ht="12.8" hidden="false" customHeight="false" outlineLevel="0" collapsed="false">
      <c r="A273" s="1" t="s">
        <v>1500</v>
      </c>
      <c r="B273" s="31" t="s">
        <v>1501</v>
      </c>
      <c r="D273" s="32" t="str">
        <f aca="true">IF(C273&lt;&gt;"", SUM(INDEX(INDIRECT("'" &amp; B273 &amp; "'.$A$1:$Z$1000"), 0, MATCH("count", INDIRECT("'" &amp; B273 &amp; "'.$A$1:$Z$1"), 0))), "")</f>
        <v/>
      </c>
      <c r="E273" s="33" t="str">
        <f aca="true">IF(C273&lt;&gt;"", SUM(INDEX(INDIRECT("'" &amp; B273 &amp; "'.$A$1:$Z$1000"), 0, MATCH("cost", INDIRECT("'" &amp; B273 &amp; "'.$A$1:$Z$1"), 0))), "")</f>
        <v/>
      </c>
      <c r="F273" s="40" t="str">
        <f aca="true">IF(C273&lt;&gt;"", SUM(INDEX(INDIRECT("'" &amp; B273 &amp; "'.$A$1:$Z$1000"), 0, MATCH("total_assembly_time_min", INDIRECT("'" &amp; B273 &amp; "'.$A$1:$Z$1"), 0)))/60, "")</f>
        <v/>
      </c>
      <c r="G273" s="33" t="str">
        <f aca="false">IF(C273&lt;&gt;"", values!$B$2, "")</f>
        <v/>
      </c>
      <c r="H273" s="33" t="str">
        <f aca="false">IF(C273&lt;&gt;"", F273*G273, "")</f>
        <v/>
      </c>
      <c r="I273" s="33" t="str">
        <f aca="false">IF(C273&lt;&gt;"", H273+E273, "")</f>
        <v/>
      </c>
      <c r="K273" s="33" t="str">
        <f aca="false">IF(C273&lt;&gt;"", L273-I273, "")</f>
        <v/>
      </c>
      <c r="L273" s="33" t="str">
        <f aca="false">IF(C273&lt;&gt;"", I273/(1-J273), "")</f>
        <v/>
      </c>
      <c r="M273" s="33" t="str">
        <f aca="false">IF(C273&lt;&gt;"", values!$A$2, "")</f>
        <v/>
      </c>
      <c r="N273" s="33" t="str">
        <f aca="false">IF(C273&lt;&gt;"", O273-L273, "")</f>
        <v/>
      </c>
      <c r="O273" s="33" t="str">
        <f aca="false">IF(C273&lt;&gt;"", L273/(1-M273), "")</f>
        <v/>
      </c>
    </row>
    <row r="274" customFormat="false" ht="12.8" hidden="false" customHeight="false" outlineLevel="0" collapsed="false">
      <c r="A274" s="1" t="s">
        <v>1502</v>
      </c>
      <c r="B274" s="31" t="s">
        <v>1503</v>
      </c>
      <c r="D274" s="32" t="str">
        <f aca="true">IF(C274&lt;&gt;"", SUM(INDEX(INDIRECT("'" &amp; B274 &amp; "'.$A$1:$Z$1000"), 0, MATCH("count", INDIRECT("'" &amp; B274 &amp; "'.$A$1:$Z$1"), 0))), "")</f>
        <v/>
      </c>
      <c r="E274" s="33" t="str">
        <f aca="true">IF(C274&lt;&gt;"", SUM(INDEX(INDIRECT("'" &amp; B274 &amp; "'.$A$1:$Z$1000"), 0, MATCH("cost", INDIRECT("'" &amp; B274 &amp; "'.$A$1:$Z$1"), 0))), "")</f>
        <v/>
      </c>
      <c r="F274" s="40" t="str">
        <f aca="true">IF(C274&lt;&gt;"", SUM(INDEX(INDIRECT("'" &amp; B274 &amp; "'.$A$1:$Z$1000"), 0, MATCH("total_assembly_time_min", INDIRECT("'" &amp; B274 &amp; "'.$A$1:$Z$1"), 0)))/60, "")</f>
        <v/>
      </c>
      <c r="G274" s="33" t="str">
        <f aca="false">IF(C274&lt;&gt;"", values!$B$2, "")</f>
        <v/>
      </c>
      <c r="H274" s="33" t="str">
        <f aca="false">IF(C274&lt;&gt;"", F274*G274, "")</f>
        <v/>
      </c>
      <c r="I274" s="33" t="str">
        <f aca="false">IF(C274&lt;&gt;"", H274+E274, "")</f>
        <v/>
      </c>
      <c r="K274" s="33" t="str">
        <f aca="false">IF(C274&lt;&gt;"", L274-I274, "")</f>
        <v/>
      </c>
      <c r="L274" s="33" t="str">
        <f aca="false">IF(C274&lt;&gt;"", I274/(1-J274), "")</f>
        <v/>
      </c>
      <c r="M274" s="33" t="str">
        <f aca="false">IF(C274&lt;&gt;"", values!$A$2, "")</f>
        <v/>
      </c>
      <c r="N274" s="33" t="str">
        <f aca="false">IF(C274&lt;&gt;"", O274-L274, "")</f>
        <v/>
      </c>
      <c r="O274" s="33" t="str">
        <f aca="false">IF(C274&lt;&gt;"", L274/(1-M274), "")</f>
        <v/>
      </c>
    </row>
    <row r="275" customFormat="false" ht="12.8" hidden="false" customHeight="false" outlineLevel="0" collapsed="false">
      <c r="A275" s="1" t="s">
        <v>1504</v>
      </c>
      <c r="B275" s="31" t="s">
        <v>1505</v>
      </c>
      <c r="D275" s="32" t="str">
        <f aca="true">IF(C275&lt;&gt;"", SUM(INDEX(INDIRECT("'" &amp; B275 &amp; "'.$A$1:$Z$1000"), 0, MATCH("count", INDIRECT("'" &amp; B275 &amp; "'.$A$1:$Z$1"), 0))), "")</f>
        <v/>
      </c>
      <c r="E275" s="33" t="str">
        <f aca="true">IF(C275&lt;&gt;"", SUM(INDEX(INDIRECT("'" &amp; B275 &amp; "'.$A$1:$Z$1000"), 0, MATCH("cost", INDIRECT("'" &amp; B275 &amp; "'.$A$1:$Z$1"), 0))), "")</f>
        <v/>
      </c>
      <c r="F275" s="40" t="str">
        <f aca="true">IF(C275&lt;&gt;"", SUM(INDEX(INDIRECT("'" &amp; B275 &amp; "'.$A$1:$Z$1000"), 0, MATCH("total_assembly_time_min", INDIRECT("'" &amp; B275 &amp; "'.$A$1:$Z$1"), 0)))/60, "")</f>
        <v/>
      </c>
      <c r="G275" s="33" t="str">
        <f aca="false">IF(C275&lt;&gt;"", values!$B$2, "")</f>
        <v/>
      </c>
      <c r="H275" s="33" t="str">
        <f aca="false">IF(C275&lt;&gt;"", F275*G275, "")</f>
        <v/>
      </c>
      <c r="I275" s="33" t="str">
        <f aca="false">IF(C275&lt;&gt;"", H275+E275, "")</f>
        <v/>
      </c>
      <c r="K275" s="33" t="str">
        <f aca="false">IF(C275&lt;&gt;"", L275-I275, "")</f>
        <v/>
      </c>
      <c r="L275" s="33" t="str">
        <f aca="false">IF(C275&lt;&gt;"", I275/(1-J275), "")</f>
        <v/>
      </c>
      <c r="M275" s="33" t="str">
        <f aca="false">IF(C275&lt;&gt;"", values!$A$2, "")</f>
        <v/>
      </c>
      <c r="N275" s="33" t="str">
        <f aca="false">IF(C275&lt;&gt;"", O275-L275, "")</f>
        <v/>
      </c>
      <c r="O275" s="33" t="str">
        <f aca="false">IF(C275&lt;&gt;"", L275/(1-M275), "")</f>
        <v/>
      </c>
    </row>
    <row r="276" customFormat="false" ht="12.8" hidden="false" customHeight="false" outlineLevel="0" collapsed="false">
      <c r="A276" s="1" t="s">
        <v>1506</v>
      </c>
      <c r="B276" s="31" t="s">
        <v>1507</v>
      </c>
      <c r="D276" s="32" t="str">
        <f aca="true">IF(C276&lt;&gt;"", SUM(INDEX(INDIRECT("'" &amp; B276 &amp; "'.$A$1:$Z$1000"), 0, MATCH("count", INDIRECT("'" &amp; B276 &amp; "'.$A$1:$Z$1"), 0))), "")</f>
        <v/>
      </c>
      <c r="E276" s="33" t="str">
        <f aca="true">IF(C276&lt;&gt;"", SUM(INDEX(INDIRECT("'" &amp; B276 &amp; "'.$A$1:$Z$1000"), 0, MATCH("cost", INDIRECT("'" &amp; B276 &amp; "'.$A$1:$Z$1"), 0))), "")</f>
        <v/>
      </c>
      <c r="F276" s="40" t="str">
        <f aca="true">IF(C276&lt;&gt;"", SUM(INDEX(INDIRECT("'" &amp; B276 &amp; "'.$A$1:$Z$1000"), 0, MATCH("total_assembly_time_min", INDIRECT("'" &amp; B276 &amp; "'.$A$1:$Z$1"), 0)))/60, "")</f>
        <v/>
      </c>
      <c r="G276" s="33" t="str">
        <f aca="false">IF(C276&lt;&gt;"", values!$B$2, "")</f>
        <v/>
      </c>
      <c r="H276" s="33" t="str">
        <f aca="false">IF(C276&lt;&gt;"", F276*G276, "")</f>
        <v/>
      </c>
      <c r="I276" s="33" t="str">
        <f aca="false">IF(C276&lt;&gt;"", H276+E276, "")</f>
        <v/>
      </c>
      <c r="K276" s="33" t="str">
        <f aca="false">IF(C276&lt;&gt;"", L276-I276, "")</f>
        <v/>
      </c>
      <c r="L276" s="33" t="str">
        <f aca="false">IF(C276&lt;&gt;"", I276/(1-J276), "")</f>
        <v/>
      </c>
      <c r="M276" s="33" t="str">
        <f aca="false">IF(C276&lt;&gt;"", values!$A$2, "")</f>
        <v/>
      </c>
      <c r="N276" s="33" t="str">
        <f aca="false">IF(C276&lt;&gt;"", O276-L276, "")</f>
        <v/>
      </c>
      <c r="O276" s="33" t="str">
        <f aca="false">IF(C276&lt;&gt;"", L276/(1-M276), "")</f>
        <v/>
      </c>
    </row>
    <row r="277" customFormat="false" ht="12.8" hidden="false" customHeight="false" outlineLevel="0" collapsed="false">
      <c r="A277" s="1" t="s">
        <v>1508</v>
      </c>
      <c r="B277" s="31" t="s">
        <v>1509</v>
      </c>
      <c r="D277" s="32" t="str">
        <f aca="true">IF(C277&lt;&gt;"", SUM(INDEX(INDIRECT("'" &amp; B277 &amp; "'.$A$1:$Z$1000"), 0, MATCH("count", INDIRECT("'" &amp; B277 &amp; "'.$A$1:$Z$1"), 0))), "")</f>
        <v/>
      </c>
      <c r="E277" s="33" t="str">
        <f aca="true">IF(C277&lt;&gt;"", SUM(INDEX(INDIRECT("'" &amp; B277 &amp; "'.$A$1:$Z$1000"), 0, MATCH("cost", INDIRECT("'" &amp; B277 &amp; "'.$A$1:$Z$1"), 0))), "")</f>
        <v/>
      </c>
      <c r="F277" s="40" t="str">
        <f aca="true">IF(C277&lt;&gt;"", SUM(INDEX(INDIRECT("'" &amp; B277 &amp; "'.$A$1:$Z$1000"), 0, MATCH("total_assembly_time_min", INDIRECT("'" &amp; B277 &amp; "'.$A$1:$Z$1"), 0)))/60, "")</f>
        <v/>
      </c>
      <c r="G277" s="33" t="str">
        <f aca="false">IF(C277&lt;&gt;"", values!$B$2, "")</f>
        <v/>
      </c>
      <c r="H277" s="33" t="str">
        <f aca="false">IF(C277&lt;&gt;"", F277*G277, "")</f>
        <v/>
      </c>
      <c r="I277" s="33" t="str">
        <f aca="false">IF(C277&lt;&gt;"", H277+E277, "")</f>
        <v/>
      </c>
      <c r="K277" s="33" t="str">
        <f aca="false">IF(C277&lt;&gt;"", L277-I277, "")</f>
        <v/>
      </c>
      <c r="L277" s="33" t="str">
        <f aca="false">IF(C277&lt;&gt;"", I277/(1-J277), "")</f>
        <v/>
      </c>
      <c r="M277" s="33" t="str">
        <f aca="false">IF(C277&lt;&gt;"", values!$A$2, "")</f>
        <v/>
      </c>
      <c r="N277" s="33" t="str">
        <f aca="false">IF(C277&lt;&gt;"", O277-L277, "")</f>
        <v/>
      </c>
      <c r="O277" s="33" t="str">
        <f aca="false">IF(C277&lt;&gt;"", L277/(1-M277), "")</f>
        <v/>
      </c>
    </row>
    <row r="278" customFormat="false" ht="12.8" hidden="false" customHeight="false" outlineLevel="0" collapsed="false">
      <c r="A278" s="1" t="s">
        <v>1510</v>
      </c>
      <c r="B278" s="31" t="s">
        <v>1511</v>
      </c>
      <c r="D278" s="32" t="str">
        <f aca="true">IF(C278&lt;&gt;"", SUM(INDEX(INDIRECT("'" &amp; B278 &amp; "'.$A$1:$Z$1000"), 0, MATCH("count", INDIRECT("'" &amp; B278 &amp; "'.$A$1:$Z$1"), 0))), "")</f>
        <v/>
      </c>
      <c r="E278" s="33" t="str">
        <f aca="true">IF(C278&lt;&gt;"", SUM(INDEX(INDIRECT("'" &amp; B278 &amp; "'.$A$1:$Z$1000"), 0, MATCH("cost", INDIRECT("'" &amp; B278 &amp; "'.$A$1:$Z$1"), 0))), "")</f>
        <v/>
      </c>
      <c r="F278" s="40" t="str">
        <f aca="true">IF(C278&lt;&gt;"", SUM(INDEX(INDIRECT("'" &amp; B278 &amp; "'.$A$1:$Z$1000"), 0, MATCH("total_assembly_time_min", INDIRECT("'" &amp; B278 &amp; "'.$A$1:$Z$1"), 0)))/60, "")</f>
        <v/>
      </c>
      <c r="G278" s="33" t="str">
        <f aca="false">IF(C278&lt;&gt;"", values!$B$2, "")</f>
        <v/>
      </c>
      <c r="H278" s="33" t="str">
        <f aca="false">IF(C278&lt;&gt;"", F278*G278, "")</f>
        <v/>
      </c>
      <c r="I278" s="33" t="str">
        <f aca="false">IF(C278&lt;&gt;"", H278+E278, "")</f>
        <v/>
      </c>
      <c r="K278" s="33" t="str">
        <f aca="false">IF(C278&lt;&gt;"", L278-I278, "")</f>
        <v/>
      </c>
      <c r="L278" s="33" t="str">
        <f aca="false">IF(C278&lt;&gt;"", I278/(1-J278), "")</f>
        <v/>
      </c>
      <c r="M278" s="33" t="str">
        <f aca="false">IF(C278&lt;&gt;"", values!$A$2, "")</f>
        <v/>
      </c>
      <c r="N278" s="33" t="str">
        <f aca="false">IF(C278&lt;&gt;"", O278-L278, "")</f>
        <v/>
      </c>
      <c r="O278" s="33" t="str">
        <f aca="false">IF(C278&lt;&gt;"", L278/(1-M278), "")</f>
        <v/>
      </c>
    </row>
    <row r="279" customFormat="false" ht="12.8" hidden="false" customHeight="false" outlineLevel="0" collapsed="false">
      <c r="A279" s="1" t="s">
        <v>1512</v>
      </c>
      <c r="B279" s="31" t="s">
        <v>1513</v>
      </c>
      <c r="D279" s="32" t="str">
        <f aca="true">IF(C279&lt;&gt;"", SUM(INDEX(INDIRECT("'" &amp; B279 &amp; "'.$A$1:$Z$1000"), 0, MATCH("count", INDIRECT("'" &amp; B279 &amp; "'.$A$1:$Z$1"), 0))), "")</f>
        <v/>
      </c>
      <c r="E279" s="33" t="str">
        <f aca="true">IF(C279&lt;&gt;"", SUM(INDEX(INDIRECT("'" &amp; B279 &amp; "'.$A$1:$Z$1000"), 0, MATCH("cost", INDIRECT("'" &amp; B279 &amp; "'.$A$1:$Z$1"), 0))), "")</f>
        <v/>
      </c>
      <c r="F279" s="40" t="str">
        <f aca="true">IF(C279&lt;&gt;"", SUM(INDEX(INDIRECT("'" &amp; B279 &amp; "'.$A$1:$Z$1000"), 0, MATCH("total_assembly_time_min", INDIRECT("'" &amp; B279 &amp; "'.$A$1:$Z$1"), 0)))/60, "")</f>
        <v/>
      </c>
      <c r="G279" s="33" t="str">
        <f aca="false">IF(C279&lt;&gt;"", values!$B$2, "")</f>
        <v/>
      </c>
      <c r="H279" s="33" t="str">
        <f aca="false">IF(C279&lt;&gt;"", F279*G279, "")</f>
        <v/>
      </c>
      <c r="I279" s="33" t="str">
        <f aca="false">IF(C279&lt;&gt;"", H279+E279, "")</f>
        <v/>
      </c>
      <c r="K279" s="33" t="str">
        <f aca="false">IF(C279&lt;&gt;"", L279-I279, "")</f>
        <v/>
      </c>
      <c r="L279" s="33" t="str">
        <f aca="false">IF(C279&lt;&gt;"", I279/(1-J279), "")</f>
        <v/>
      </c>
      <c r="M279" s="33" t="str">
        <f aca="false">IF(C279&lt;&gt;"", values!$A$2, "")</f>
        <v/>
      </c>
      <c r="N279" s="33" t="str">
        <f aca="false">IF(C279&lt;&gt;"", O279-L279, "")</f>
        <v/>
      </c>
      <c r="O279" s="33" t="str">
        <f aca="false">IF(C279&lt;&gt;"", L279/(1-M279), "")</f>
        <v/>
      </c>
    </row>
    <row r="280" customFormat="false" ht="12.8" hidden="false" customHeight="false" outlineLevel="0" collapsed="false">
      <c r="A280" s="1" t="s">
        <v>1514</v>
      </c>
      <c r="B280" s="31" t="s">
        <v>1515</v>
      </c>
      <c r="D280" s="32" t="str">
        <f aca="true">IF(C280&lt;&gt;"", SUM(INDEX(INDIRECT("'" &amp; B280 &amp; "'.$A$1:$Z$1000"), 0, MATCH("count", INDIRECT("'" &amp; B280 &amp; "'.$A$1:$Z$1"), 0))), "")</f>
        <v/>
      </c>
      <c r="E280" s="33" t="str">
        <f aca="true">IF(C280&lt;&gt;"", SUM(INDEX(INDIRECT("'" &amp; B280 &amp; "'.$A$1:$Z$1000"), 0, MATCH("cost", INDIRECT("'" &amp; B280 &amp; "'.$A$1:$Z$1"), 0))), "")</f>
        <v/>
      </c>
      <c r="F280" s="40" t="str">
        <f aca="true">IF(C280&lt;&gt;"", SUM(INDEX(INDIRECT("'" &amp; B280 &amp; "'.$A$1:$Z$1000"), 0, MATCH("total_assembly_time_min", INDIRECT("'" &amp; B280 &amp; "'.$A$1:$Z$1"), 0)))/60, "")</f>
        <v/>
      </c>
      <c r="G280" s="33" t="str">
        <f aca="false">IF(C280&lt;&gt;"", values!$B$2, "")</f>
        <v/>
      </c>
      <c r="H280" s="33" t="str">
        <f aca="false">IF(C280&lt;&gt;"", F280*G280, "")</f>
        <v/>
      </c>
      <c r="I280" s="33" t="str">
        <f aca="false">IF(C280&lt;&gt;"", H280+E280, "")</f>
        <v/>
      </c>
      <c r="K280" s="33" t="str">
        <f aca="false">IF(C280&lt;&gt;"", L280-I280, "")</f>
        <v/>
      </c>
      <c r="L280" s="33" t="str">
        <f aca="false">IF(C280&lt;&gt;"", I280/(1-J280), "")</f>
        <v/>
      </c>
      <c r="M280" s="33" t="str">
        <f aca="false">IF(C280&lt;&gt;"", values!$A$2, "")</f>
        <v/>
      </c>
      <c r="N280" s="33" t="str">
        <f aca="false">IF(C280&lt;&gt;"", O280-L280, "")</f>
        <v/>
      </c>
      <c r="O280" s="33" t="str">
        <f aca="false">IF(C280&lt;&gt;"", L280/(1-M280), "")</f>
        <v/>
      </c>
    </row>
    <row r="281" customFormat="false" ht="12.8" hidden="false" customHeight="false" outlineLevel="0" collapsed="false">
      <c r="A281" s="1" t="s">
        <v>1516</v>
      </c>
      <c r="B281" s="31" t="s">
        <v>1517</v>
      </c>
      <c r="D281" s="32" t="str">
        <f aca="true">IF(C281&lt;&gt;"", SUM(INDEX(INDIRECT("'" &amp; B281 &amp; "'.$A$1:$Z$1000"), 0, MATCH("count", INDIRECT("'" &amp; B281 &amp; "'.$A$1:$Z$1"), 0))), "")</f>
        <v/>
      </c>
      <c r="E281" s="33" t="str">
        <f aca="true">IF(C281&lt;&gt;"", SUM(INDEX(INDIRECT("'" &amp; B281 &amp; "'.$A$1:$Z$1000"), 0, MATCH("cost", INDIRECT("'" &amp; B281 &amp; "'.$A$1:$Z$1"), 0))), "")</f>
        <v/>
      </c>
      <c r="F281" s="40" t="str">
        <f aca="true">IF(C281&lt;&gt;"", SUM(INDEX(INDIRECT("'" &amp; B281 &amp; "'.$A$1:$Z$1000"), 0, MATCH("total_assembly_time_min", INDIRECT("'" &amp; B281 &amp; "'.$A$1:$Z$1"), 0)))/60, "")</f>
        <v/>
      </c>
      <c r="G281" s="33" t="str">
        <f aca="false">IF(C281&lt;&gt;"", values!$B$2, "")</f>
        <v/>
      </c>
      <c r="H281" s="33" t="str">
        <f aca="false">IF(C281&lt;&gt;"", F281*G281, "")</f>
        <v/>
      </c>
      <c r="I281" s="33" t="str">
        <f aca="false">IF(C281&lt;&gt;"", H281+E281, "")</f>
        <v/>
      </c>
      <c r="K281" s="33" t="str">
        <f aca="false">IF(C281&lt;&gt;"", L281-I281, "")</f>
        <v/>
      </c>
      <c r="L281" s="33" t="str">
        <f aca="false">IF(C281&lt;&gt;"", I281/(1-J281), "")</f>
        <v/>
      </c>
      <c r="M281" s="33" t="str">
        <f aca="false">IF(C281&lt;&gt;"", values!$A$2, "")</f>
        <v/>
      </c>
      <c r="N281" s="33" t="str">
        <f aca="false">IF(C281&lt;&gt;"", O281-L281, "")</f>
        <v/>
      </c>
      <c r="O281" s="33" t="str">
        <f aca="false">IF(C281&lt;&gt;"", L281/(1-M281), "")</f>
        <v/>
      </c>
    </row>
    <row r="282" customFormat="false" ht="12.8" hidden="false" customHeight="false" outlineLevel="0" collapsed="false">
      <c r="A282" s="1" t="s">
        <v>1518</v>
      </c>
      <c r="B282" s="31" t="s">
        <v>1519</v>
      </c>
      <c r="D282" s="32" t="str">
        <f aca="true">IF(C282&lt;&gt;"", SUM(INDEX(INDIRECT("'" &amp; B282 &amp; "'.$A$1:$Z$1000"), 0, MATCH("count", INDIRECT("'" &amp; B282 &amp; "'.$A$1:$Z$1"), 0))), "")</f>
        <v/>
      </c>
      <c r="E282" s="33" t="str">
        <f aca="true">IF(C282&lt;&gt;"", SUM(INDEX(INDIRECT("'" &amp; B282 &amp; "'.$A$1:$Z$1000"), 0, MATCH("cost", INDIRECT("'" &amp; B282 &amp; "'.$A$1:$Z$1"), 0))), "")</f>
        <v/>
      </c>
      <c r="F282" s="40" t="str">
        <f aca="true">IF(C282&lt;&gt;"", SUM(INDEX(INDIRECT("'" &amp; B282 &amp; "'.$A$1:$Z$1000"), 0, MATCH("total_assembly_time_min", INDIRECT("'" &amp; B282 &amp; "'.$A$1:$Z$1"), 0)))/60, "")</f>
        <v/>
      </c>
      <c r="G282" s="33" t="str">
        <f aca="false">IF(C282&lt;&gt;"", values!$B$2, "")</f>
        <v/>
      </c>
      <c r="H282" s="33" t="str">
        <f aca="false">IF(C282&lt;&gt;"", F282*G282, "")</f>
        <v/>
      </c>
      <c r="I282" s="33" t="str">
        <f aca="false">IF(C282&lt;&gt;"", H282+E282, "")</f>
        <v/>
      </c>
      <c r="K282" s="33" t="str">
        <f aca="false">IF(C282&lt;&gt;"", L282-I282, "")</f>
        <v/>
      </c>
      <c r="L282" s="33" t="str">
        <f aca="false">IF(C282&lt;&gt;"", I282/(1-J282), "")</f>
        <v/>
      </c>
      <c r="M282" s="33" t="str">
        <f aca="false">IF(C282&lt;&gt;"", values!$A$2, "")</f>
        <v/>
      </c>
      <c r="N282" s="33" t="str">
        <f aca="false">IF(C282&lt;&gt;"", O282-L282, "")</f>
        <v/>
      </c>
      <c r="O282" s="33" t="str">
        <f aca="false">IF(C282&lt;&gt;"", L282/(1-M282), "")</f>
        <v/>
      </c>
    </row>
    <row r="283" customFormat="false" ht="12.8" hidden="false" customHeight="false" outlineLevel="0" collapsed="false">
      <c r="A283" s="1" t="s">
        <v>1520</v>
      </c>
      <c r="B283" s="31" t="s">
        <v>1521</v>
      </c>
      <c r="D283" s="32" t="str">
        <f aca="true">IF(C283&lt;&gt;"", SUM(INDEX(INDIRECT("'" &amp; B283 &amp; "'.$A$1:$Z$1000"), 0, MATCH("count", INDIRECT("'" &amp; B283 &amp; "'.$A$1:$Z$1"), 0))), "")</f>
        <v/>
      </c>
      <c r="E283" s="33" t="str">
        <f aca="true">IF(C283&lt;&gt;"", SUM(INDEX(INDIRECT("'" &amp; B283 &amp; "'.$A$1:$Z$1000"), 0, MATCH("cost", INDIRECT("'" &amp; B283 &amp; "'.$A$1:$Z$1"), 0))), "")</f>
        <v/>
      </c>
      <c r="F283" s="40" t="str">
        <f aca="true">IF(C283&lt;&gt;"", SUM(INDEX(INDIRECT("'" &amp; B283 &amp; "'.$A$1:$Z$1000"), 0, MATCH("total_assembly_time_min", INDIRECT("'" &amp; B283 &amp; "'.$A$1:$Z$1"), 0)))/60, "")</f>
        <v/>
      </c>
      <c r="G283" s="33" t="str">
        <f aca="false">IF(C283&lt;&gt;"", values!$B$2, "")</f>
        <v/>
      </c>
      <c r="H283" s="33" t="str">
        <f aca="false">IF(C283&lt;&gt;"", F283*G283, "")</f>
        <v/>
      </c>
      <c r="I283" s="33" t="str">
        <f aca="false">IF(C283&lt;&gt;"", H283+E283, "")</f>
        <v/>
      </c>
      <c r="K283" s="33" t="str">
        <f aca="false">IF(C283&lt;&gt;"", L283-I283, "")</f>
        <v/>
      </c>
      <c r="L283" s="33" t="str">
        <f aca="false">IF(C283&lt;&gt;"", I283/(1-J283), "")</f>
        <v/>
      </c>
      <c r="M283" s="33" t="str">
        <f aca="false">IF(C283&lt;&gt;"", values!$A$2, "")</f>
        <v/>
      </c>
      <c r="N283" s="33" t="str">
        <f aca="false">IF(C283&lt;&gt;"", O283-L283, "")</f>
        <v/>
      </c>
      <c r="O283" s="33" t="str">
        <f aca="false">IF(C283&lt;&gt;"", L283/(1-M283), "")</f>
        <v/>
      </c>
    </row>
    <row r="284" customFormat="false" ht="12.8" hidden="false" customHeight="false" outlineLevel="0" collapsed="false">
      <c r="A284" s="1" t="s">
        <v>1522</v>
      </c>
      <c r="B284" s="31" t="s">
        <v>1523</v>
      </c>
      <c r="D284" s="32" t="str">
        <f aca="true">IF(C284&lt;&gt;"", SUM(INDEX(INDIRECT("'" &amp; B284 &amp; "'.$A$1:$Z$1000"), 0, MATCH("count", INDIRECT("'" &amp; B284 &amp; "'.$A$1:$Z$1"), 0))), "")</f>
        <v/>
      </c>
      <c r="E284" s="33" t="str">
        <f aca="true">IF(C284&lt;&gt;"", SUM(INDEX(INDIRECT("'" &amp; B284 &amp; "'.$A$1:$Z$1000"), 0, MATCH("cost", INDIRECT("'" &amp; B284 &amp; "'.$A$1:$Z$1"), 0))), "")</f>
        <v/>
      </c>
      <c r="F284" s="40" t="str">
        <f aca="true">IF(C284&lt;&gt;"", SUM(INDEX(INDIRECT("'" &amp; B284 &amp; "'.$A$1:$Z$1000"), 0, MATCH("total_assembly_time_min", INDIRECT("'" &amp; B284 &amp; "'.$A$1:$Z$1"), 0)))/60, "")</f>
        <v/>
      </c>
      <c r="G284" s="33" t="str">
        <f aca="false">IF(C284&lt;&gt;"", values!$B$2, "")</f>
        <v/>
      </c>
      <c r="H284" s="33" t="str">
        <f aca="false">IF(C284&lt;&gt;"", F284*G284, "")</f>
        <v/>
      </c>
      <c r="I284" s="33" t="str">
        <f aca="false">IF(C284&lt;&gt;"", H284+E284, "")</f>
        <v/>
      </c>
      <c r="K284" s="33" t="str">
        <f aca="false">IF(C284&lt;&gt;"", L284-I284, "")</f>
        <v/>
      </c>
      <c r="L284" s="33" t="str">
        <f aca="false">IF(C284&lt;&gt;"", I284/(1-J284), "")</f>
        <v/>
      </c>
      <c r="M284" s="33" t="str">
        <f aca="false">IF(C284&lt;&gt;"", values!$A$2, "")</f>
        <v/>
      </c>
      <c r="N284" s="33" t="str">
        <f aca="false">IF(C284&lt;&gt;"", O284-L284, "")</f>
        <v/>
      </c>
      <c r="O284" s="33" t="str">
        <f aca="false">IF(C284&lt;&gt;"", L284/(1-M284), "")</f>
        <v/>
      </c>
    </row>
    <row r="285" customFormat="false" ht="12.8" hidden="false" customHeight="false" outlineLevel="0" collapsed="false">
      <c r="A285" s="1" t="s">
        <v>1524</v>
      </c>
      <c r="B285" s="31" t="s">
        <v>1525</v>
      </c>
      <c r="D285" s="32" t="str">
        <f aca="true">IF(C285&lt;&gt;"", SUM(INDEX(INDIRECT("'" &amp; B285 &amp; "'.$A$1:$Z$1000"), 0, MATCH("count", INDIRECT("'" &amp; B285 &amp; "'.$A$1:$Z$1"), 0))), "")</f>
        <v/>
      </c>
      <c r="E285" s="33" t="str">
        <f aca="true">IF(C285&lt;&gt;"", SUM(INDEX(INDIRECT("'" &amp; B285 &amp; "'.$A$1:$Z$1000"), 0, MATCH("cost", INDIRECT("'" &amp; B285 &amp; "'.$A$1:$Z$1"), 0))), "")</f>
        <v/>
      </c>
      <c r="F285" s="40" t="str">
        <f aca="true">IF(C285&lt;&gt;"", SUM(INDEX(INDIRECT("'" &amp; B285 &amp; "'.$A$1:$Z$1000"), 0, MATCH("total_assembly_time_min", INDIRECT("'" &amp; B285 &amp; "'.$A$1:$Z$1"), 0)))/60, "")</f>
        <v/>
      </c>
      <c r="G285" s="33" t="str">
        <f aca="false">IF(C285&lt;&gt;"", values!$B$2, "")</f>
        <v/>
      </c>
      <c r="H285" s="33" t="str">
        <f aca="false">IF(C285&lt;&gt;"", F285*G285, "")</f>
        <v/>
      </c>
      <c r="I285" s="33" t="str">
        <f aca="false">IF(C285&lt;&gt;"", H285+E285, "")</f>
        <v/>
      </c>
      <c r="K285" s="33" t="str">
        <f aca="false">IF(C285&lt;&gt;"", L285-I285, "")</f>
        <v/>
      </c>
      <c r="L285" s="33" t="str">
        <f aca="false">IF(C285&lt;&gt;"", I285/(1-J285), "")</f>
        <v/>
      </c>
      <c r="M285" s="33" t="str">
        <f aca="false">IF(C285&lt;&gt;"", values!$A$2, "")</f>
        <v/>
      </c>
      <c r="N285" s="33" t="str">
        <f aca="false">IF(C285&lt;&gt;"", O285-L285, "")</f>
        <v/>
      </c>
      <c r="O285" s="33" t="str">
        <f aca="false">IF(C285&lt;&gt;"", L285/(1-M285), "")</f>
        <v/>
      </c>
    </row>
    <row r="286" customFormat="false" ht="12.8" hidden="false" customHeight="false" outlineLevel="0" collapsed="false">
      <c r="A286" s="1" t="s">
        <v>1526</v>
      </c>
      <c r="B286" s="31" t="s">
        <v>1527</v>
      </c>
      <c r="D286" s="32" t="str">
        <f aca="true">IF(C286&lt;&gt;"", SUM(INDEX(INDIRECT("'" &amp; B286 &amp; "'.$A$1:$Z$1000"), 0, MATCH("count", INDIRECT("'" &amp; B286 &amp; "'.$A$1:$Z$1"), 0))), "")</f>
        <v/>
      </c>
      <c r="E286" s="33" t="str">
        <f aca="true">IF(C286&lt;&gt;"", SUM(INDEX(INDIRECT("'" &amp; B286 &amp; "'.$A$1:$Z$1000"), 0, MATCH("cost", INDIRECT("'" &amp; B286 &amp; "'.$A$1:$Z$1"), 0))), "")</f>
        <v/>
      </c>
      <c r="F286" s="40" t="str">
        <f aca="true">IF(C286&lt;&gt;"", SUM(INDEX(INDIRECT("'" &amp; B286 &amp; "'.$A$1:$Z$1000"), 0, MATCH("total_assembly_time_min", INDIRECT("'" &amp; B286 &amp; "'.$A$1:$Z$1"), 0)))/60, "")</f>
        <v/>
      </c>
      <c r="G286" s="33" t="str">
        <f aca="false">IF(C286&lt;&gt;"", values!$B$2, "")</f>
        <v/>
      </c>
      <c r="H286" s="33" t="str">
        <f aca="false">IF(C286&lt;&gt;"", F286*G286, "")</f>
        <v/>
      </c>
      <c r="I286" s="33" t="str">
        <f aca="false">IF(C286&lt;&gt;"", H286+E286, "")</f>
        <v/>
      </c>
      <c r="K286" s="33" t="str">
        <f aca="false">IF(C286&lt;&gt;"", L286-I286, "")</f>
        <v/>
      </c>
      <c r="L286" s="33" t="str">
        <f aca="false">IF(C286&lt;&gt;"", I286/(1-J286), "")</f>
        <v/>
      </c>
      <c r="M286" s="33" t="str">
        <f aca="false">IF(C286&lt;&gt;"", values!$A$2, "")</f>
        <v/>
      </c>
      <c r="N286" s="33" t="str">
        <f aca="false">IF(C286&lt;&gt;"", O286-L286, "")</f>
        <v/>
      </c>
      <c r="O286" s="33" t="str">
        <f aca="false">IF(C286&lt;&gt;"", L286/(1-M286), "")</f>
        <v/>
      </c>
    </row>
    <row r="287" customFormat="false" ht="12.8" hidden="false" customHeight="false" outlineLevel="0" collapsed="false">
      <c r="A287" s="1" t="s">
        <v>1528</v>
      </c>
      <c r="B287" s="31" t="s">
        <v>1529</v>
      </c>
      <c r="D287" s="32" t="str">
        <f aca="true">IF(C287&lt;&gt;"", SUM(INDEX(INDIRECT("'" &amp; B287 &amp; "'.$A$1:$Z$1000"), 0, MATCH("count", INDIRECT("'" &amp; B287 &amp; "'.$A$1:$Z$1"), 0))), "")</f>
        <v/>
      </c>
      <c r="E287" s="33" t="str">
        <f aca="true">IF(C287&lt;&gt;"", SUM(INDEX(INDIRECT("'" &amp; B287 &amp; "'.$A$1:$Z$1000"), 0, MATCH("cost", INDIRECT("'" &amp; B287 &amp; "'.$A$1:$Z$1"), 0))), "")</f>
        <v/>
      </c>
      <c r="F287" s="40" t="str">
        <f aca="true">IF(C287&lt;&gt;"", SUM(INDEX(INDIRECT("'" &amp; B287 &amp; "'.$A$1:$Z$1000"), 0, MATCH("total_assembly_time_min", INDIRECT("'" &amp; B287 &amp; "'.$A$1:$Z$1"), 0)))/60, "")</f>
        <v/>
      </c>
      <c r="G287" s="33" t="str">
        <f aca="false">IF(C287&lt;&gt;"", values!$B$2, "")</f>
        <v/>
      </c>
      <c r="H287" s="33" t="str">
        <f aca="false">IF(C287&lt;&gt;"", F287*G287, "")</f>
        <v/>
      </c>
      <c r="I287" s="33" t="str">
        <f aca="false">IF(C287&lt;&gt;"", H287+E287, "")</f>
        <v/>
      </c>
      <c r="K287" s="33" t="str">
        <f aca="false">IF(C287&lt;&gt;"", L287-I287, "")</f>
        <v/>
      </c>
      <c r="L287" s="33" t="str">
        <f aca="false">IF(C287&lt;&gt;"", I287/(1-J287), "")</f>
        <v/>
      </c>
      <c r="M287" s="33" t="str">
        <f aca="false">IF(C287&lt;&gt;"", values!$A$2, "")</f>
        <v/>
      </c>
      <c r="N287" s="33" t="str">
        <f aca="false">IF(C287&lt;&gt;"", O287-L287, "")</f>
        <v/>
      </c>
      <c r="O287" s="33" t="str">
        <f aca="false">IF(C287&lt;&gt;"", L287/(1-M287), "")</f>
        <v/>
      </c>
    </row>
    <row r="288" customFormat="false" ht="12.8" hidden="false" customHeight="false" outlineLevel="0" collapsed="false">
      <c r="A288" s="1" t="s">
        <v>1530</v>
      </c>
      <c r="B288" s="31" t="s">
        <v>1531</v>
      </c>
      <c r="D288" s="32" t="str">
        <f aca="true">IF(C288&lt;&gt;"", SUM(INDEX(INDIRECT("'" &amp; B288 &amp; "'.$A$1:$Z$1000"), 0, MATCH("count", INDIRECT("'" &amp; B288 &amp; "'.$A$1:$Z$1"), 0))), "")</f>
        <v/>
      </c>
      <c r="E288" s="33" t="str">
        <f aca="true">IF(C288&lt;&gt;"", SUM(INDEX(INDIRECT("'" &amp; B288 &amp; "'.$A$1:$Z$1000"), 0, MATCH("cost", INDIRECT("'" &amp; B288 &amp; "'.$A$1:$Z$1"), 0))), "")</f>
        <v/>
      </c>
      <c r="F288" s="40" t="str">
        <f aca="true">IF(C288&lt;&gt;"", SUM(INDEX(INDIRECT("'" &amp; B288 &amp; "'.$A$1:$Z$1000"), 0, MATCH("total_assembly_time_min", INDIRECT("'" &amp; B288 &amp; "'.$A$1:$Z$1"), 0)))/60, "")</f>
        <v/>
      </c>
      <c r="G288" s="33" t="str">
        <f aca="false">IF(C288&lt;&gt;"", values!$B$2, "")</f>
        <v/>
      </c>
      <c r="H288" s="33" t="str">
        <f aca="false">IF(C288&lt;&gt;"", F288*G288, "")</f>
        <v/>
      </c>
      <c r="I288" s="33" t="str">
        <f aca="false">IF(C288&lt;&gt;"", H288+E288, "")</f>
        <v/>
      </c>
      <c r="K288" s="33" t="str">
        <f aca="false">IF(C288&lt;&gt;"", L288-I288, "")</f>
        <v/>
      </c>
      <c r="L288" s="33" t="str">
        <f aca="false">IF(C288&lt;&gt;"", I288/(1-J288), "")</f>
        <v/>
      </c>
      <c r="M288" s="33" t="str">
        <f aca="false">IF(C288&lt;&gt;"", values!$A$2, "")</f>
        <v/>
      </c>
      <c r="N288" s="33" t="str">
        <f aca="false">IF(C288&lt;&gt;"", O288-L288, "")</f>
        <v/>
      </c>
      <c r="O288" s="33" t="str">
        <f aca="false">IF(C288&lt;&gt;"", L288/(1-M288), "")</f>
        <v/>
      </c>
    </row>
    <row r="289" customFormat="false" ht="12.8" hidden="false" customHeight="false" outlineLevel="0" collapsed="false">
      <c r="A289" s="1" t="s">
        <v>1532</v>
      </c>
      <c r="B289" s="31" t="s">
        <v>1533</v>
      </c>
      <c r="D289" s="32" t="str">
        <f aca="true">IF(C289&lt;&gt;"", SUM(INDEX(INDIRECT("'" &amp; B289 &amp; "'.$A$1:$Z$1000"), 0, MATCH("count", INDIRECT("'" &amp; B289 &amp; "'.$A$1:$Z$1"), 0))), "")</f>
        <v/>
      </c>
      <c r="E289" s="33" t="str">
        <f aca="true">IF(C289&lt;&gt;"", SUM(INDEX(INDIRECT("'" &amp; B289 &amp; "'.$A$1:$Z$1000"), 0, MATCH("cost", INDIRECT("'" &amp; B289 &amp; "'.$A$1:$Z$1"), 0))), "")</f>
        <v/>
      </c>
      <c r="F289" s="40" t="str">
        <f aca="true">IF(C289&lt;&gt;"", SUM(INDEX(INDIRECT("'" &amp; B289 &amp; "'.$A$1:$Z$1000"), 0, MATCH("total_assembly_time_min", INDIRECT("'" &amp; B289 &amp; "'.$A$1:$Z$1"), 0)))/60, "")</f>
        <v/>
      </c>
      <c r="G289" s="33" t="str">
        <f aca="false">IF(C289&lt;&gt;"", values!$B$2, "")</f>
        <v/>
      </c>
      <c r="H289" s="33" t="str">
        <f aca="false">IF(C289&lt;&gt;"", F289*G289, "")</f>
        <v/>
      </c>
      <c r="I289" s="33" t="str">
        <f aca="false">IF(C289&lt;&gt;"", H289+E289, "")</f>
        <v/>
      </c>
      <c r="K289" s="33" t="str">
        <f aca="false">IF(C289&lt;&gt;"", L289-I289, "")</f>
        <v/>
      </c>
      <c r="L289" s="33" t="str">
        <f aca="false">IF(C289&lt;&gt;"", I289/(1-J289), "")</f>
        <v/>
      </c>
      <c r="M289" s="33" t="str">
        <f aca="false">IF(C289&lt;&gt;"", values!$A$2, "")</f>
        <v/>
      </c>
      <c r="N289" s="33" t="str">
        <f aca="false">IF(C289&lt;&gt;"", O289-L289, "")</f>
        <v/>
      </c>
      <c r="O289" s="33" t="str">
        <f aca="false">IF(C289&lt;&gt;"", L289/(1-M289), "")</f>
        <v/>
      </c>
    </row>
    <row r="290" customFormat="false" ht="12.8" hidden="false" customHeight="false" outlineLevel="0" collapsed="false">
      <c r="A290" s="1" t="s">
        <v>1534</v>
      </c>
      <c r="B290" s="31" t="s">
        <v>1535</v>
      </c>
      <c r="D290" s="32" t="str">
        <f aca="true">IF(C290&lt;&gt;"", SUM(INDEX(INDIRECT("'" &amp; B290 &amp; "'.$A$1:$Z$1000"), 0, MATCH("count", INDIRECT("'" &amp; B290 &amp; "'.$A$1:$Z$1"), 0))), "")</f>
        <v/>
      </c>
      <c r="E290" s="33" t="str">
        <f aca="true">IF(C290&lt;&gt;"", SUM(INDEX(INDIRECT("'" &amp; B290 &amp; "'.$A$1:$Z$1000"), 0, MATCH("cost", INDIRECT("'" &amp; B290 &amp; "'.$A$1:$Z$1"), 0))), "")</f>
        <v/>
      </c>
      <c r="F290" s="40" t="str">
        <f aca="true">IF(C290&lt;&gt;"", SUM(INDEX(INDIRECT("'" &amp; B290 &amp; "'.$A$1:$Z$1000"), 0, MATCH("total_assembly_time_min", INDIRECT("'" &amp; B290 &amp; "'.$A$1:$Z$1"), 0)))/60, "")</f>
        <v/>
      </c>
      <c r="G290" s="33" t="str">
        <f aca="false">IF(C290&lt;&gt;"", values!$B$2, "")</f>
        <v/>
      </c>
      <c r="H290" s="33" t="str">
        <f aca="false">IF(C290&lt;&gt;"", F290*G290, "")</f>
        <v/>
      </c>
      <c r="I290" s="33" t="str">
        <f aca="false">IF(C290&lt;&gt;"", H290+E290, "")</f>
        <v/>
      </c>
      <c r="K290" s="33" t="str">
        <f aca="false">IF(C290&lt;&gt;"", L290-I290, "")</f>
        <v/>
      </c>
      <c r="L290" s="33" t="str">
        <f aca="false">IF(C290&lt;&gt;"", I290/(1-J290), "")</f>
        <v/>
      </c>
      <c r="M290" s="33" t="str">
        <f aca="false">IF(C290&lt;&gt;"", values!$A$2, "")</f>
        <v/>
      </c>
      <c r="N290" s="33" t="str">
        <f aca="false">IF(C290&lt;&gt;"", O290-L290, "")</f>
        <v/>
      </c>
      <c r="O290" s="33" t="str">
        <f aca="false">IF(C290&lt;&gt;"", L290/(1-M290), "")</f>
        <v/>
      </c>
    </row>
    <row r="291" customFormat="false" ht="12.8" hidden="false" customHeight="false" outlineLevel="0" collapsed="false">
      <c r="A291" s="1" t="s">
        <v>1536</v>
      </c>
      <c r="B291" s="31" t="s">
        <v>1537</v>
      </c>
      <c r="D291" s="32" t="str">
        <f aca="true">IF(C291&lt;&gt;"", SUM(INDEX(INDIRECT("'" &amp; B291 &amp; "'.$A$1:$Z$1000"), 0, MATCH("count", INDIRECT("'" &amp; B291 &amp; "'.$A$1:$Z$1"), 0))), "")</f>
        <v/>
      </c>
      <c r="E291" s="33" t="str">
        <f aca="true">IF(C291&lt;&gt;"", SUM(INDEX(INDIRECT("'" &amp; B291 &amp; "'.$A$1:$Z$1000"), 0, MATCH("cost", INDIRECT("'" &amp; B291 &amp; "'.$A$1:$Z$1"), 0))), "")</f>
        <v/>
      </c>
      <c r="F291" s="40" t="str">
        <f aca="true">IF(C291&lt;&gt;"", SUM(INDEX(INDIRECT("'" &amp; B291 &amp; "'.$A$1:$Z$1000"), 0, MATCH("total_assembly_time_min", INDIRECT("'" &amp; B291 &amp; "'.$A$1:$Z$1"), 0)))/60, "")</f>
        <v/>
      </c>
      <c r="G291" s="33" t="str">
        <f aca="false">IF(C291&lt;&gt;"", values!$B$2, "")</f>
        <v/>
      </c>
      <c r="H291" s="33" t="str">
        <f aca="false">IF(C291&lt;&gt;"", F291*G291, "")</f>
        <v/>
      </c>
      <c r="I291" s="33" t="str">
        <f aca="false">IF(C291&lt;&gt;"", H291+E291, "")</f>
        <v/>
      </c>
      <c r="K291" s="33" t="str">
        <f aca="false">IF(C291&lt;&gt;"", L291-I291, "")</f>
        <v/>
      </c>
      <c r="L291" s="33" t="str">
        <f aca="false">IF(C291&lt;&gt;"", I291/(1-J291), "")</f>
        <v/>
      </c>
      <c r="M291" s="33" t="str">
        <f aca="false">IF(C291&lt;&gt;"", values!$A$2, "")</f>
        <v/>
      </c>
      <c r="N291" s="33" t="str">
        <f aca="false">IF(C291&lt;&gt;"", O291-L291, "")</f>
        <v/>
      </c>
      <c r="O291" s="33" t="str">
        <f aca="false">IF(C291&lt;&gt;"", L291/(1-M291), "")</f>
        <v/>
      </c>
    </row>
    <row r="292" customFormat="false" ht="12.8" hidden="false" customHeight="false" outlineLevel="0" collapsed="false">
      <c r="A292" s="1" t="s">
        <v>1538</v>
      </c>
      <c r="B292" s="31" t="s">
        <v>1539</v>
      </c>
      <c r="D292" s="32" t="str">
        <f aca="true">IF(C292&lt;&gt;"", SUM(INDEX(INDIRECT("'" &amp; B292 &amp; "'.$A$1:$Z$1000"), 0, MATCH("count", INDIRECT("'" &amp; B292 &amp; "'.$A$1:$Z$1"), 0))), "")</f>
        <v/>
      </c>
      <c r="E292" s="33" t="str">
        <f aca="true">IF(C292&lt;&gt;"", SUM(INDEX(INDIRECT("'" &amp; B292 &amp; "'.$A$1:$Z$1000"), 0, MATCH("cost", INDIRECT("'" &amp; B292 &amp; "'.$A$1:$Z$1"), 0))), "")</f>
        <v/>
      </c>
      <c r="F292" s="40" t="str">
        <f aca="true">IF(C292&lt;&gt;"", SUM(INDEX(INDIRECT("'" &amp; B292 &amp; "'.$A$1:$Z$1000"), 0, MATCH("total_assembly_time_min", INDIRECT("'" &amp; B292 &amp; "'.$A$1:$Z$1"), 0)))/60, "")</f>
        <v/>
      </c>
      <c r="G292" s="33" t="str">
        <f aca="false">IF(C292&lt;&gt;"", values!$B$2, "")</f>
        <v/>
      </c>
      <c r="H292" s="33" t="str">
        <f aca="false">IF(C292&lt;&gt;"", F292*G292, "")</f>
        <v/>
      </c>
      <c r="I292" s="33" t="str">
        <f aca="false">IF(C292&lt;&gt;"", H292+E292, "")</f>
        <v/>
      </c>
      <c r="K292" s="33" t="str">
        <f aca="false">IF(C292&lt;&gt;"", L292-I292, "")</f>
        <v/>
      </c>
      <c r="L292" s="33" t="str">
        <f aca="false">IF(C292&lt;&gt;"", I292/(1-J292), "")</f>
        <v/>
      </c>
      <c r="M292" s="33" t="str">
        <f aca="false">IF(C292&lt;&gt;"", values!$A$2, "")</f>
        <v/>
      </c>
      <c r="N292" s="33" t="str">
        <f aca="false">IF(C292&lt;&gt;"", O292-L292, "")</f>
        <v/>
      </c>
      <c r="O292" s="33" t="str">
        <f aca="false">IF(C292&lt;&gt;"", L292/(1-M292), "")</f>
        <v/>
      </c>
    </row>
    <row r="293" customFormat="false" ht="12.8" hidden="false" customHeight="false" outlineLevel="0" collapsed="false">
      <c r="A293" s="1" t="s">
        <v>1540</v>
      </c>
      <c r="B293" s="31" t="s">
        <v>1541</v>
      </c>
      <c r="D293" s="32" t="str">
        <f aca="true">IF(C293&lt;&gt;"", SUM(INDEX(INDIRECT("'" &amp; B293 &amp; "'.$A$1:$Z$1000"), 0, MATCH("count", INDIRECT("'" &amp; B293 &amp; "'.$A$1:$Z$1"), 0))), "")</f>
        <v/>
      </c>
      <c r="E293" s="33" t="str">
        <f aca="true">IF(C293&lt;&gt;"", SUM(INDEX(INDIRECT("'" &amp; B293 &amp; "'.$A$1:$Z$1000"), 0, MATCH("cost", INDIRECT("'" &amp; B293 &amp; "'.$A$1:$Z$1"), 0))), "")</f>
        <v/>
      </c>
      <c r="F293" s="40" t="str">
        <f aca="true">IF(C293&lt;&gt;"", SUM(INDEX(INDIRECT("'" &amp; B293 &amp; "'.$A$1:$Z$1000"), 0, MATCH("total_assembly_time_min", INDIRECT("'" &amp; B293 &amp; "'.$A$1:$Z$1"), 0)))/60, "")</f>
        <v/>
      </c>
      <c r="G293" s="33" t="str">
        <f aca="false">IF(C293&lt;&gt;"", values!$B$2, "")</f>
        <v/>
      </c>
      <c r="H293" s="33" t="str">
        <f aca="false">IF(C293&lt;&gt;"", F293*G293, "")</f>
        <v/>
      </c>
      <c r="I293" s="33" t="str">
        <f aca="false">IF(C293&lt;&gt;"", H293+E293, "")</f>
        <v/>
      </c>
      <c r="K293" s="33" t="str">
        <f aca="false">IF(C293&lt;&gt;"", L293-I293, "")</f>
        <v/>
      </c>
      <c r="L293" s="33" t="str">
        <f aca="false">IF(C293&lt;&gt;"", I293/(1-J293), "")</f>
        <v/>
      </c>
      <c r="M293" s="33" t="str">
        <f aca="false">IF(C293&lt;&gt;"", values!$A$2, "")</f>
        <v/>
      </c>
      <c r="N293" s="33" t="str">
        <f aca="false">IF(C293&lt;&gt;"", O293-L293, "")</f>
        <v/>
      </c>
      <c r="O293" s="33" t="str">
        <f aca="false">IF(C293&lt;&gt;"", L293/(1-M293), "")</f>
        <v/>
      </c>
    </row>
    <row r="294" customFormat="false" ht="12.8" hidden="false" customHeight="false" outlineLevel="0" collapsed="false">
      <c r="A294" s="1" t="s">
        <v>1542</v>
      </c>
      <c r="B294" s="31" t="s">
        <v>1543</v>
      </c>
      <c r="D294" s="32" t="str">
        <f aca="true">IF(C294&lt;&gt;"", SUM(INDEX(INDIRECT("'" &amp; B294 &amp; "'.$A$1:$Z$1000"), 0, MATCH("count", INDIRECT("'" &amp; B294 &amp; "'.$A$1:$Z$1"), 0))), "")</f>
        <v/>
      </c>
      <c r="E294" s="33" t="str">
        <f aca="true">IF(C294&lt;&gt;"", SUM(INDEX(INDIRECT("'" &amp; B294 &amp; "'.$A$1:$Z$1000"), 0, MATCH("cost", INDIRECT("'" &amp; B294 &amp; "'.$A$1:$Z$1"), 0))), "")</f>
        <v/>
      </c>
      <c r="F294" s="40" t="str">
        <f aca="true">IF(C294&lt;&gt;"", SUM(INDEX(INDIRECT("'" &amp; B294 &amp; "'.$A$1:$Z$1000"), 0, MATCH("total_assembly_time_min", INDIRECT("'" &amp; B294 &amp; "'.$A$1:$Z$1"), 0)))/60, "")</f>
        <v/>
      </c>
      <c r="G294" s="33" t="str">
        <f aca="false">IF(C294&lt;&gt;"", values!$B$2, "")</f>
        <v/>
      </c>
      <c r="H294" s="33" t="str">
        <f aca="false">IF(C294&lt;&gt;"", F294*G294, "")</f>
        <v/>
      </c>
      <c r="I294" s="33" t="str">
        <f aca="false">IF(C294&lt;&gt;"", H294+E294, "")</f>
        <v/>
      </c>
      <c r="K294" s="33" t="str">
        <f aca="false">IF(C294&lt;&gt;"", L294-I294, "")</f>
        <v/>
      </c>
      <c r="L294" s="33" t="str">
        <f aca="false">IF(C294&lt;&gt;"", I294/(1-J294), "")</f>
        <v/>
      </c>
      <c r="M294" s="33" t="str">
        <f aca="false">IF(C294&lt;&gt;"", values!$A$2, "")</f>
        <v/>
      </c>
      <c r="N294" s="33" t="str">
        <f aca="false">IF(C294&lt;&gt;"", O294-L294, "")</f>
        <v/>
      </c>
      <c r="O294" s="33" t="str">
        <f aca="false">IF(C294&lt;&gt;"", L294/(1-M294), "")</f>
        <v/>
      </c>
    </row>
    <row r="295" customFormat="false" ht="12.8" hidden="false" customHeight="false" outlineLevel="0" collapsed="false">
      <c r="A295" s="1" t="s">
        <v>1544</v>
      </c>
      <c r="B295" s="31" t="s">
        <v>1545</v>
      </c>
      <c r="D295" s="32" t="str">
        <f aca="true">IF(C295&lt;&gt;"", SUM(INDEX(INDIRECT("'" &amp; B295 &amp; "'.$A$1:$Z$1000"), 0, MATCH("count", INDIRECT("'" &amp; B295 &amp; "'.$A$1:$Z$1"), 0))), "")</f>
        <v/>
      </c>
      <c r="E295" s="33" t="str">
        <f aca="true">IF(C295&lt;&gt;"", SUM(INDEX(INDIRECT("'" &amp; B295 &amp; "'.$A$1:$Z$1000"), 0, MATCH("cost", INDIRECT("'" &amp; B295 &amp; "'.$A$1:$Z$1"), 0))), "")</f>
        <v/>
      </c>
      <c r="F295" s="40" t="str">
        <f aca="true">IF(C295&lt;&gt;"", SUM(INDEX(INDIRECT("'" &amp; B295 &amp; "'.$A$1:$Z$1000"), 0, MATCH("total_assembly_time_min", INDIRECT("'" &amp; B295 &amp; "'.$A$1:$Z$1"), 0)))/60, "")</f>
        <v/>
      </c>
      <c r="G295" s="33" t="str">
        <f aca="false">IF(C295&lt;&gt;"", values!$B$2, "")</f>
        <v/>
      </c>
      <c r="H295" s="33" t="str">
        <f aca="false">IF(C295&lt;&gt;"", F295*G295, "")</f>
        <v/>
      </c>
      <c r="I295" s="33" t="str">
        <f aca="false">IF(C295&lt;&gt;"", H295+E295, "")</f>
        <v/>
      </c>
      <c r="K295" s="33" t="str">
        <f aca="false">IF(C295&lt;&gt;"", L295-I295, "")</f>
        <v/>
      </c>
      <c r="L295" s="33" t="str">
        <f aca="false">IF(C295&lt;&gt;"", I295/(1-J295), "")</f>
        <v/>
      </c>
      <c r="M295" s="33" t="str">
        <f aca="false">IF(C295&lt;&gt;"", values!$A$2, "")</f>
        <v/>
      </c>
      <c r="N295" s="33" t="str">
        <f aca="false">IF(C295&lt;&gt;"", O295-L295, "")</f>
        <v/>
      </c>
      <c r="O295" s="33" t="str">
        <f aca="false">IF(C295&lt;&gt;"", L295/(1-M295), "")</f>
        <v/>
      </c>
    </row>
    <row r="296" customFormat="false" ht="12.8" hidden="false" customHeight="false" outlineLevel="0" collapsed="false">
      <c r="A296" s="1" t="s">
        <v>1546</v>
      </c>
      <c r="B296" s="31" t="s">
        <v>1547</v>
      </c>
      <c r="D296" s="32" t="str">
        <f aca="true">IF(C296&lt;&gt;"", SUM(INDEX(INDIRECT("'" &amp; B296 &amp; "'.$A$1:$Z$1000"), 0, MATCH("count", INDIRECT("'" &amp; B296 &amp; "'.$A$1:$Z$1"), 0))), "")</f>
        <v/>
      </c>
      <c r="E296" s="33" t="str">
        <f aca="true">IF(C296&lt;&gt;"", SUM(INDEX(INDIRECT("'" &amp; B296 &amp; "'.$A$1:$Z$1000"), 0, MATCH("cost", INDIRECT("'" &amp; B296 &amp; "'.$A$1:$Z$1"), 0))), "")</f>
        <v/>
      </c>
      <c r="F296" s="40" t="str">
        <f aca="true">IF(C296&lt;&gt;"", SUM(INDEX(INDIRECT("'" &amp; B296 &amp; "'.$A$1:$Z$1000"), 0, MATCH("total_assembly_time_min", INDIRECT("'" &amp; B296 &amp; "'.$A$1:$Z$1"), 0)))/60, "")</f>
        <v/>
      </c>
      <c r="G296" s="33" t="str">
        <f aca="false">IF(C296&lt;&gt;"", values!$B$2, "")</f>
        <v/>
      </c>
      <c r="H296" s="33" t="str">
        <f aca="false">IF(C296&lt;&gt;"", F296*G296, "")</f>
        <v/>
      </c>
      <c r="I296" s="33" t="str">
        <f aca="false">IF(C296&lt;&gt;"", H296+E296, "")</f>
        <v/>
      </c>
      <c r="K296" s="33" t="str">
        <f aca="false">IF(C296&lt;&gt;"", L296-I296, "")</f>
        <v/>
      </c>
      <c r="L296" s="33" t="str">
        <f aca="false">IF(C296&lt;&gt;"", I296/(1-J296), "")</f>
        <v/>
      </c>
      <c r="M296" s="33" t="str">
        <f aca="false">IF(C296&lt;&gt;"", values!$A$2, "")</f>
        <v/>
      </c>
      <c r="N296" s="33" t="str">
        <f aca="false">IF(C296&lt;&gt;"", O296-L296, "")</f>
        <v/>
      </c>
      <c r="O296" s="33" t="str">
        <f aca="false">IF(C296&lt;&gt;"", L296/(1-M296), "")</f>
        <v/>
      </c>
    </row>
    <row r="297" customFormat="false" ht="12.8" hidden="false" customHeight="false" outlineLevel="0" collapsed="false">
      <c r="A297" s="1" t="s">
        <v>1548</v>
      </c>
      <c r="B297" s="31" t="s">
        <v>1549</v>
      </c>
      <c r="D297" s="32" t="str">
        <f aca="true">IF(C297&lt;&gt;"", SUM(INDEX(INDIRECT("'" &amp; B297 &amp; "'.$A$1:$Z$1000"), 0, MATCH("count", INDIRECT("'" &amp; B297 &amp; "'.$A$1:$Z$1"), 0))), "")</f>
        <v/>
      </c>
      <c r="E297" s="33" t="str">
        <f aca="true">IF(C297&lt;&gt;"", SUM(INDEX(INDIRECT("'" &amp; B297 &amp; "'.$A$1:$Z$1000"), 0, MATCH("cost", INDIRECT("'" &amp; B297 &amp; "'.$A$1:$Z$1"), 0))), "")</f>
        <v/>
      </c>
      <c r="F297" s="40" t="str">
        <f aca="true">IF(C297&lt;&gt;"", SUM(INDEX(INDIRECT("'" &amp; B297 &amp; "'.$A$1:$Z$1000"), 0, MATCH("total_assembly_time_min", INDIRECT("'" &amp; B297 &amp; "'.$A$1:$Z$1"), 0)))/60, "")</f>
        <v/>
      </c>
      <c r="G297" s="33" t="str">
        <f aca="false">IF(C297&lt;&gt;"", values!$B$2, "")</f>
        <v/>
      </c>
      <c r="H297" s="33" t="str">
        <f aca="false">IF(C297&lt;&gt;"", F297*G297, "")</f>
        <v/>
      </c>
      <c r="I297" s="33" t="str">
        <f aca="false">IF(C297&lt;&gt;"", H297+E297, "")</f>
        <v/>
      </c>
      <c r="K297" s="33" t="str">
        <f aca="false">IF(C297&lt;&gt;"", L297-I297, "")</f>
        <v/>
      </c>
      <c r="L297" s="33" t="str">
        <f aca="false">IF(C297&lt;&gt;"", I297/(1-J297), "")</f>
        <v/>
      </c>
      <c r="M297" s="33" t="str">
        <f aca="false">IF(C297&lt;&gt;"", values!$A$2, "")</f>
        <v/>
      </c>
      <c r="N297" s="33" t="str">
        <f aca="false">IF(C297&lt;&gt;"", O297-L297, "")</f>
        <v/>
      </c>
      <c r="O297" s="33" t="str">
        <f aca="false">IF(C297&lt;&gt;"", L297/(1-M297), "")</f>
        <v/>
      </c>
    </row>
    <row r="298" customFormat="false" ht="12.8" hidden="false" customHeight="false" outlineLevel="0" collapsed="false">
      <c r="A298" s="1" t="s">
        <v>1550</v>
      </c>
      <c r="B298" s="31" t="s">
        <v>1551</v>
      </c>
      <c r="D298" s="32" t="str">
        <f aca="true">IF(C298&lt;&gt;"", SUM(INDEX(INDIRECT("'" &amp; B298 &amp; "'.$A$1:$Z$1000"), 0, MATCH("count", INDIRECT("'" &amp; B298 &amp; "'.$A$1:$Z$1"), 0))), "")</f>
        <v/>
      </c>
      <c r="E298" s="33" t="str">
        <f aca="true">IF(C298&lt;&gt;"", SUM(INDEX(INDIRECT("'" &amp; B298 &amp; "'.$A$1:$Z$1000"), 0, MATCH("cost", INDIRECT("'" &amp; B298 &amp; "'.$A$1:$Z$1"), 0))), "")</f>
        <v/>
      </c>
      <c r="F298" s="40" t="str">
        <f aca="true">IF(C298&lt;&gt;"", SUM(INDEX(INDIRECT("'" &amp; B298 &amp; "'.$A$1:$Z$1000"), 0, MATCH("total_assembly_time_min", INDIRECT("'" &amp; B298 &amp; "'.$A$1:$Z$1"), 0)))/60, "")</f>
        <v/>
      </c>
      <c r="G298" s="33" t="str">
        <f aca="false">IF(C298&lt;&gt;"", values!$B$2, "")</f>
        <v/>
      </c>
      <c r="H298" s="33" t="str">
        <f aca="false">IF(C298&lt;&gt;"", F298*G298, "")</f>
        <v/>
      </c>
      <c r="I298" s="33" t="str">
        <f aca="false">IF(C298&lt;&gt;"", H298+E298, "")</f>
        <v/>
      </c>
      <c r="K298" s="33" t="str">
        <f aca="false">IF(C298&lt;&gt;"", L298-I298, "")</f>
        <v/>
      </c>
      <c r="L298" s="33" t="str">
        <f aca="false">IF(C298&lt;&gt;"", I298/(1-J298), "")</f>
        <v/>
      </c>
      <c r="M298" s="33" t="str">
        <f aca="false">IF(C298&lt;&gt;"", values!$A$2, "")</f>
        <v/>
      </c>
      <c r="N298" s="33" t="str">
        <f aca="false">IF(C298&lt;&gt;"", O298-L298, "")</f>
        <v/>
      </c>
      <c r="O298" s="33" t="str">
        <f aca="false">IF(C298&lt;&gt;"", L298/(1-M298), "")</f>
        <v/>
      </c>
    </row>
    <row r="299" customFormat="false" ht="12.8" hidden="false" customHeight="false" outlineLevel="0" collapsed="false">
      <c r="A299" s="1" t="s">
        <v>1552</v>
      </c>
      <c r="B299" s="31" t="s">
        <v>1553</v>
      </c>
      <c r="D299" s="32" t="str">
        <f aca="true">IF(C299&lt;&gt;"", SUM(INDEX(INDIRECT("'" &amp; B299 &amp; "'.$A$1:$Z$1000"), 0, MATCH("count", INDIRECT("'" &amp; B299 &amp; "'.$A$1:$Z$1"), 0))), "")</f>
        <v/>
      </c>
      <c r="E299" s="33" t="str">
        <f aca="true">IF(C299&lt;&gt;"", SUM(INDEX(INDIRECT("'" &amp; B299 &amp; "'.$A$1:$Z$1000"), 0, MATCH("cost", INDIRECT("'" &amp; B299 &amp; "'.$A$1:$Z$1"), 0))), "")</f>
        <v/>
      </c>
      <c r="F299" s="40" t="str">
        <f aca="true">IF(C299&lt;&gt;"", SUM(INDEX(INDIRECT("'" &amp; B299 &amp; "'.$A$1:$Z$1000"), 0, MATCH("total_assembly_time_min", INDIRECT("'" &amp; B299 &amp; "'.$A$1:$Z$1"), 0)))/60, "")</f>
        <v/>
      </c>
      <c r="G299" s="33" t="str">
        <f aca="false">IF(C299&lt;&gt;"", values!$B$2, "")</f>
        <v/>
      </c>
      <c r="H299" s="33" t="str">
        <f aca="false">IF(C299&lt;&gt;"", F299*G299, "")</f>
        <v/>
      </c>
      <c r="I299" s="33" t="str">
        <f aca="false">IF(C299&lt;&gt;"", H299+E299, "")</f>
        <v/>
      </c>
      <c r="K299" s="33" t="str">
        <f aca="false">IF(C299&lt;&gt;"", L299-I299, "")</f>
        <v/>
      </c>
      <c r="L299" s="33" t="str">
        <f aca="false">IF(C299&lt;&gt;"", I299/(1-J299), "")</f>
        <v/>
      </c>
      <c r="M299" s="33" t="str">
        <f aca="false">IF(C299&lt;&gt;"", values!$A$2, "")</f>
        <v/>
      </c>
      <c r="N299" s="33" t="str">
        <f aca="false">IF(C299&lt;&gt;"", O299-L299, "")</f>
        <v/>
      </c>
      <c r="O299" s="33" t="str">
        <f aca="false">IF(C299&lt;&gt;"", L299/(1-M299), "")</f>
        <v/>
      </c>
    </row>
    <row r="300" customFormat="false" ht="12.8" hidden="false" customHeight="false" outlineLevel="0" collapsed="false">
      <c r="A300" s="1" t="s">
        <v>1554</v>
      </c>
      <c r="B300" s="31" t="s">
        <v>1555</v>
      </c>
      <c r="D300" s="32" t="str">
        <f aca="true">IF(C300&lt;&gt;"", SUM(INDEX(INDIRECT("'" &amp; B300 &amp; "'.$A$1:$Z$1000"), 0, MATCH("count", INDIRECT("'" &amp; B300 &amp; "'.$A$1:$Z$1"), 0))), "")</f>
        <v/>
      </c>
      <c r="E300" s="33" t="str">
        <f aca="true">IF(C300&lt;&gt;"", SUM(INDEX(INDIRECT("'" &amp; B300 &amp; "'.$A$1:$Z$1000"), 0, MATCH("cost", INDIRECT("'" &amp; B300 &amp; "'.$A$1:$Z$1"), 0))), "")</f>
        <v/>
      </c>
      <c r="F300" s="40" t="str">
        <f aca="true">IF(C300&lt;&gt;"", SUM(INDEX(INDIRECT("'" &amp; B300 &amp; "'.$A$1:$Z$1000"), 0, MATCH("total_assembly_time_min", INDIRECT("'" &amp; B300 &amp; "'.$A$1:$Z$1"), 0)))/60, "")</f>
        <v/>
      </c>
      <c r="G300" s="33" t="str">
        <f aca="false">IF(C300&lt;&gt;"", values!$B$2, "")</f>
        <v/>
      </c>
      <c r="H300" s="33" t="str">
        <f aca="false">IF(C300&lt;&gt;"", F300*G300, "")</f>
        <v/>
      </c>
      <c r="I300" s="33" t="str">
        <f aca="false">IF(C300&lt;&gt;"", H300+E300, "")</f>
        <v/>
      </c>
      <c r="K300" s="33" t="str">
        <f aca="false">IF(C300&lt;&gt;"", L300-I300, "")</f>
        <v/>
      </c>
      <c r="L300" s="33" t="str">
        <f aca="false">IF(C300&lt;&gt;"", I300/(1-J300), "")</f>
        <v/>
      </c>
      <c r="M300" s="33" t="str">
        <f aca="false">IF(C300&lt;&gt;"", values!$A$2, "")</f>
        <v/>
      </c>
      <c r="N300" s="33" t="str">
        <f aca="false">IF(C300&lt;&gt;"", O300-L300, "")</f>
        <v/>
      </c>
      <c r="O300" s="33" t="str">
        <f aca="false">IF(C300&lt;&gt;"", L300/(1-M300), "")</f>
        <v/>
      </c>
    </row>
    <row r="301" customFormat="false" ht="12.8" hidden="false" customHeight="false" outlineLevel="0" collapsed="false">
      <c r="A301" s="1" t="s">
        <v>1556</v>
      </c>
      <c r="B301" s="31" t="s">
        <v>1557</v>
      </c>
      <c r="D301" s="32" t="str">
        <f aca="true">IF(C301&lt;&gt;"", SUM(INDEX(INDIRECT("'" &amp; B301 &amp; "'.$A$1:$Z$1000"), 0, MATCH("count", INDIRECT("'" &amp; B301 &amp; "'.$A$1:$Z$1"), 0))), "")</f>
        <v/>
      </c>
      <c r="E301" s="33" t="str">
        <f aca="true">IF(C301&lt;&gt;"", SUM(INDEX(INDIRECT("'" &amp; B301 &amp; "'.$A$1:$Z$1000"), 0, MATCH("cost", INDIRECT("'" &amp; B301 &amp; "'.$A$1:$Z$1"), 0))), "")</f>
        <v/>
      </c>
      <c r="F301" s="40" t="str">
        <f aca="true">IF(C301&lt;&gt;"", SUM(INDEX(INDIRECT("'" &amp; B301 &amp; "'.$A$1:$Z$1000"), 0, MATCH("total_assembly_time_min", INDIRECT("'" &amp; B301 &amp; "'.$A$1:$Z$1"), 0)))/60, "")</f>
        <v/>
      </c>
      <c r="G301" s="33" t="str">
        <f aca="false">IF(C301&lt;&gt;"", values!$B$2, "")</f>
        <v/>
      </c>
      <c r="H301" s="33" t="str">
        <f aca="false">IF(C301&lt;&gt;"", F301*G301, "")</f>
        <v/>
      </c>
      <c r="I301" s="33" t="str">
        <f aca="false">IF(C301&lt;&gt;"", H301+E301, "")</f>
        <v/>
      </c>
      <c r="K301" s="33" t="str">
        <f aca="false">IF(C301&lt;&gt;"", L301-I301, "")</f>
        <v/>
      </c>
      <c r="L301" s="33" t="str">
        <f aca="false">IF(C301&lt;&gt;"", I301/(1-J301), "")</f>
        <v/>
      </c>
      <c r="M301" s="33" t="str">
        <f aca="false">IF(C301&lt;&gt;"", values!$A$2, "")</f>
        <v/>
      </c>
      <c r="N301" s="33" t="str">
        <f aca="false">IF(C301&lt;&gt;"", O301-L301, "")</f>
        <v/>
      </c>
      <c r="O301" s="33" t="str">
        <f aca="false">IF(C301&lt;&gt;"", L301/(1-M301), "")</f>
        <v/>
      </c>
    </row>
    <row r="302" customFormat="false" ht="12.8" hidden="false" customHeight="false" outlineLevel="0" collapsed="false">
      <c r="A302" s="1" t="s">
        <v>1558</v>
      </c>
      <c r="B302" s="31" t="s">
        <v>1559</v>
      </c>
      <c r="D302" s="32" t="str">
        <f aca="true">IF(C302&lt;&gt;"", SUM(INDEX(INDIRECT("'" &amp; B302 &amp; "'.$A$1:$Z$1000"), 0, MATCH("count", INDIRECT("'" &amp; B302 &amp; "'.$A$1:$Z$1"), 0))), "")</f>
        <v/>
      </c>
      <c r="E302" s="33" t="str">
        <f aca="true">IF(C302&lt;&gt;"", SUM(INDEX(INDIRECT("'" &amp; B302 &amp; "'.$A$1:$Z$1000"), 0, MATCH("cost", INDIRECT("'" &amp; B302 &amp; "'.$A$1:$Z$1"), 0))), "")</f>
        <v/>
      </c>
      <c r="F302" s="40" t="str">
        <f aca="true">IF(C302&lt;&gt;"", SUM(INDEX(INDIRECT("'" &amp; B302 &amp; "'.$A$1:$Z$1000"), 0, MATCH("total_assembly_time_min", INDIRECT("'" &amp; B302 &amp; "'.$A$1:$Z$1"), 0)))/60, "")</f>
        <v/>
      </c>
      <c r="G302" s="33" t="str">
        <f aca="false">IF(C302&lt;&gt;"", values!$B$2, "")</f>
        <v/>
      </c>
      <c r="H302" s="33" t="str">
        <f aca="false">IF(C302&lt;&gt;"", F302*G302, "")</f>
        <v/>
      </c>
      <c r="I302" s="33" t="str">
        <f aca="false">IF(C302&lt;&gt;"", H302+E302, "")</f>
        <v/>
      </c>
      <c r="K302" s="33" t="str">
        <f aca="false">IF(C302&lt;&gt;"", L302-I302, "")</f>
        <v/>
      </c>
      <c r="L302" s="33" t="str">
        <f aca="false">IF(C302&lt;&gt;"", I302/(1-J302), "")</f>
        <v/>
      </c>
      <c r="M302" s="33" t="str">
        <f aca="false">IF(C302&lt;&gt;"", values!$A$2, "")</f>
        <v/>
      </c>
      <c r="N302" s="33" t="str">
        <f aca="false">IF(C302&lt;&gt;"", O302-L302, "")</f>
        <v/>
      </c>
      <c r="O302" s="33" t="str">
        <f aca="false">IF(C302&lt;&gt;"", L302/(1-M302), "")</f>
        <v/>
      </c>
    </row>
    <row r="303" customFormat="false" ht="12.8" hidden="false" customHeight="false" outlineLevel="0" collapsed="false">
      <c r="A303" s="1" t="s">
        <v>1560</v>
      </c>
      <c r="B303" s="31" t="s">
        <v>1561</v>
      </c>
      <c r="D303" s="32" t="str">
        <f aca="true">IF(C303&lt;&gt;"", SUM(INDEX(INDIRECT("'" &amp; B303 &amp; "'.$A$1:$Z$1000"), 0, MATCH("count", INDIRECT("'" &amp; B303 &amp; "'.$A$1:$Z$1"), 0))), "")</f>
        <v/>
      </c>
      <c r="E303" s="33" t="str">
        <f aca="true">IF(C303&lt;&gt;"", SUM(INDEX(INDIRECT("'" &amp; B303 &amp; "'.$A$1:$Z$1000"), 0, MATCH("cost", INDIRECT("'" &amp; B303 &amp; "'.$A$1:$Z$1"), 0))), "")</f>
        <v/>
      </c>
      <c r="F303" s="40" t="str">
        <f aca="true">IF(C303&lt;&gt;"", SUM(INDEX(INDIRECT("'" &amp; B303 &amp; "'.$A$1:$Z$1000"), 0, MATCH("total_assembly_time_min", INDIRECT("'" &amp; B303 &amp; "'.$A$1:$Z$1"), 0)))/60, "")</f>
        <v/>
      </c>
      <c r="G303" s="33" t="str">
        <f aca="false">IF(C303&lt;&gt;"", values!$B$2, "")</f>
        <v/>
      </c>
      <c r="H303" s="33" t="str">
        <f aca="false">IF(C303&lt;&gt;"", F303*G303, "")</f>
        <v/>
      </c>
      <c r="I303" s="33" t="str">
        <f aca="false">IF(C303&lt;&gt;"", H303+E303, "")</f>
        <v/>
      </c>
      <c r="K303" s="33" t="str">
        <f aca="false">IF(C303&lt;&gt;"", L303-I303, "")</f>
        <v/>
      </c>
      <c r="L303" s="33" t="str">
        <f aca="false">IF(C303&lt;&gt;"", I303/(1-J303), "")</f>
        <v/>
      </c>
      <c r="M303" s="33" t="str">
        <f aca="false">IF(C303&lt;&gt;"", values!$A$2, "")</f>
        <v/>
      </c>
      <c r="N303" s="33" t="str">
        <f aca="false">IF(C303&lt;&gt;"", O303-L303, "")</f>
        <v/>
      </c>
      <c r="O303" s="33" t="str">
        <f aca="false">IF(C303&lt;&gt;"", L303/(1-M303), "")</f>
        <v/>
      </c>
    </row>
    <row r="304" customFormat="false" ht="12.8" hidden="false" customHeight="false" outlineLevel="0" collapsed="false">
      <c r="A304" s="1" t="s">
        <v>1562</v>
      </c>
      <c r="B304" s="31" t="s">
        <v>1563</v>
      </c>
      <c r="D304" s="32" t="str">
        <f aca="true">IF(C304&lt;&gt;"", SUM(INDEX(INDIRECT("'" &amp; B304 &amp; "'.$A$1:$Z$1000"), 0, MATCH("count", INDIRECT("'" &amp; B304 &amp; "'.$A$1:$Z$1"), 0))), "")</f>
        <v/>
      </c>
      <c r="E304" s="33" t="str">
        <f aca="true">IF(C304&lt;&gt;"", SUM(INDEX(INDIRECT("'" &amp; B304 &amp; "'.$A$1:$Z$1000"), 0, MATCH("cost", INDIRECT("'" &amp; B304 &amp; "'.$A$1:$Z$1"), 0))), "")</f>
        <v/>
      </c>
      <c r="F304" s="40" t="str">
        <f aca="true">IF(C304&lt;&gt;"", SUM(INDEX(INDIRECT("'" &amp; B304 &amp; "'.$A$1:$Z$1000"), 0, MATCH("total_assembly_time_min", INDIRECT("'" &amp; B304 &amp; "'.$A$1:$Z$1"), 0)))/60, "")</f>
        <v/>
      </c>
      <c r="G304" s="33" t="str">
        <f aca="false">IF(C304&lt;&gt;"", values!$B$2, "")</f>
        <v/>
      </c>
      <c r="H304" s="33" t="str">
        <f aca="false">IF(C304&lt;&gt;"", F304*G304, "")</f>
        <v/>
      </c>
      <c r="I304" s="33" t="str">
        <f aca="false">IF(C304&lt;&gt;"", H304+E304, "")</f>
        <v/>
      </c>
      <c r="K304" s="33" t="str">
        <f aca="false">IF(C304&lt;&gt;"", L304-I304, "")</f>
        <v/>
      </c>
      <c r="L304" s="33" t="str">
        <f aca="false">IF(C304&lt;&gt;"", I304/(1-J304), "")</f>
        <v/>
      </c>
      <c r="M304" s="33" t="str">
        <f aca="false">IF(C304&lt;&gt;"", values!$A$2, "")</f>
        <v/>
      </c>
      <c r="N304" s="33" t="str">
        <f aca="false">IF(C304&lt;&gt;"", O304-L304, "")</f>
        <v/>
      </c>
      <c r="O304" s="33" t="str">
        <f aca="false">IF(C304&lt;&gt;"", L304/(1-M304), "")</f>
        <v/>
      </c>
    </row>
    <row r="305" customFormat="false" ht="12.8" hidden="false" customHeight="false" outlineLevel="0" collapsed="false">
      <c r="A305" s="1" t="s">
        <v>1564</v>
      </c>
      <c r="B305" s="31" t="s">
        <v>1565</v>
      </c>
      <c r="D305" s="32" t="str">
        <f aca="true">IF(C305&lt;&gt;"", SUM(INDEX(INDIRECT("'" &amp; B305 &amp; "'.$A$1:$Z$1000"), 0, MATCH("count", INDIRECT("'" &amp; B305 &amp; "'.$A$1:$Z$1"), 0))), "")</f>
        <v/>
      </c>
      <c r="E305" s="33" t="str">
        <f aca="true">IF(C305&lt;&gt;"", SUM(INDEX(INDIRECT("'" &amp; B305 &amp; "'.$A$1:$Z$1000"), 0, MATCH("cost", INDIRECT("'" &amp; B305 &amp; "'.$A$1:$Z$1"), 0))), "")</f>
        <v/>
      </c>
      <c r="F305" s="40" t="str">
        <f aca="true">IF(C305&lt;&gt;"", SUM(INDEX(INDIRECT("'" &amp; B305 &amp; "'.$A$1:$Z$1000"), 0, MATCH("total_assembly_time_min", INDIRECT("'" &amp; B305 &amp; "'.$A$1:$Z$1"), 0)))/60, "")</f>
        <v/>
      </c>
      <c r="G305" s="33" t="str">
        <f aca="false">IF(C305&lt;&gt;"", values!$B$2, "")</f>
        <v/>
      </c>
      <c r="H305" s="33" t="str">
        <f aca="false">IF(C305&lt;&gt;"", F305*G305, "")</f>
        <v/>
      </c>
      <c r="I305" s="33" t="str">
        <f aca="false">IF(C305&lt;&gt;"", H305+E305, "")</f>
        <v/>
      </c>
      <c r="K305" s="33" t="str">
        <f aca="false">IF(C305&lt;&gt;"", L305-I305, "")</f>
        <v/>
      </c>
      <c r="L305" s="33" t="str">
        <f aca="false">IF(C305&lt;&gt;"", I305/(1-J305), "")</f>
        <v/>
      </c>
      <c r="M305" s="33" t="str">
        <f aca="false">IF(C305&lt;&gt;"", values!$A$2, "")</f>
        <v/>
      </c>
      <c r="N305" s="33" t="str">
        <f aca="false">IF(C305&lt;&gt;"", O305-L305, "")</f>
        <v/>
      </c>
      <c r="O305" s="33" t="str">
        <f aca="false">IF(C305&lt;&gt;"", L305/(1-M305), "")</f>
        <v/>
      </c>
    </row>
    <row r="306" customFormat="false" ht="12.8" hidden="false" customHeight="false" outlineLevel="0" collapsed="false">
      <c r="A306" s="1" t="s">
        <v>1566</v>
      </c>
      <c r="B306" s="31" t="s">
        <v>1567</v>
      </c>
      <c r="D306" s="32" t="str">
        <f aca="true">IF(C306&lt;&gt;"", SUM(INDEX(INDIRECT("'" &amp; B306 &amp; "'.$A$1:$Z$1000"), 0, MATCH("count", INDIRECT("'" &amp; B306 &amp; "'.$A$1:$Z$1"), 0))), "")</f>
        <v/>
      </c>
      <c r="E306" s="33" t="str">
        <f aca="true">IF(C306&lt;&gt;"", SUM(INDEX(INDIRECT("'" &amp; B306 &amp; "'.$A$1:$Z$1000"), 0, MATCH("cost", INDIRECT("'" &amp; B306 &amp; "'.$A$1:$Z$1"), 0))), "")</f>
        <v/>
      </c>
      <c r="F306" s="40" t="str">
        <f aca="true">IF(C306&lt;&gt;"", SUM(INDEX(INDIRECT("'" &amp; B306 &amp; "'.$A$1:$Z$1000"), 0, MATCH("total_assembly_time_min", INDIRECT("'" &amp; B306 &amp; "'.$A$1:$Z$1"), 0)))/60, "")</f>
        <v/>
      </c>
      <c r="G306" s="33" t="str">
        <f aca="false">IF(C306&lt;&gt;"", values!$B$2, "")</f>
        <v/>
      </c>
      <c r="H306" s="33" t="str">
        <f aca="false">IF(C306&lt;&gt;"", F306*G306, "")</f>
        <v/>
      </c>
      <c r="I306" s="33" t="str">
        <f aca="false">IF(C306&lt;&gt;"", H306+E306, "")</f>
        <v/>
      </c>
      <c r="K306" s="33" t="str">
        <f aca="false">IF(C306&lt;&gt;"", L306-I306, "")</f>
        <v/>
      </c>
      <c r="L306" s="33" t="str">
        <f aca="false">IF(C306&lt;&gt;"", I306/(1-J306), "")</f>
        <v/>
      </c>
      <c r="M306" s="33" t="str">
        <f aca="false">IF(C306&lt;&gt;"", values!$A$2, "")</f>
        <v/>
      </c>
      <c r="N306" s="33" t="str">
        <f aca="false">IF(C306&lt;&gt;"", O306-L306, "")</f>
        <v/>
      </c>
      <c r="O306" s="33" t="str">
        <f aca="false">IF(C306&lt;&gt;"", L306/(1-M306), "")</f>
        <v/>
      </c>
    </row>
    <row r="307" customFormat="false" ht="12.8" hidden="false" customHeight="false" outlineLevel="0" collapsed="false">
      <c r="A307" s="1" t="s">
        <v>1568</v>
      </c>
      <c r="B307" s="31" t="s">
        <v>1569</v>
      </c>
      <c r="D307" s="32" t="str">
        <f aca="true">IF(C307&lt;&gt;"", SUM(INDEX(INDIRECT("'" &amp; B307 &amp; "'.$A$1:$Z$1000"), 0, MATCH("count", INDIRECT("'" &amp; B307 &amp; "'.$A$1:$Z$1"), 0))), "")</f>
        <v/>
      </c>
      <c r="E307" s="33" t="str">
        <f aca="true">IF(C307&lt;&gt;"", SUM(INDEX(INDIRECT("'" &amp; B307 &amp; "'.$A$1:$Z$1000"), 0, MATCH("cost", INDIRECT("'" &amp; B307 &amp; "'.$A$1:$Z$1"), 0))), "")</f>
        <v/>
      </c>
      <c r="F307" s="40" t="str">
        <f aca="true">IF(C307&lt;&gt;"", SUM(INDEX(INDIRECT("'" &amp; B307 &amp; "'.$A$1:$Z$1000"), 0, MATCH("total_assembly_time_min", INDIRECT("'" &amp; B307 &amp; "'.$A$1:$Z$1"), 0)))/60, "")</f>
        <v/>
      </c>
      <c r="G307" s="33" t="str">
        <f aca="false">IF(C307&lt;&gt;"", values!$B$2, "")</f>
        <v/>
      </c>
      <c r="H307" s="33" t="str">
        <f aca="false">IF(C307&lt;&gt;"", F307*G307, "")</f>
        <v/>
      </c>
      <c r="I307" s="33" t="str">
        <f aca="false">IF(C307&lt;&gt;"", H307+E307, "")</f>
        <v/>
      </c>
      <c r="K307" s="33" t="str">
        <f aca="false">IF(C307&lt;&gt;"", L307-I307, "")</f>
        <v/>
      </c>
      <c r="L307" s="33" t="str">
        <f aca="false">IF(C307&lt;&gt;"", I307/(1-J307), "")</f>
        <v/>
      </c>
      <c r="M307" s="33" t="str">
        <f aca="false">IF(C307&lt;&gt;"", values!$A$2, "")</f>
        <v/>
      </c>
      <c r="N307" s="33" t="str">
        <f aca="false">IF(C307&lt;&gt;"", O307-L307, "")</f>
        <v/>
      </c>
      <c r="O307" s="33" t="str">
        <f aca="false">IF(C307&lt;&gt;"", L307/(1-M307), "")</f>
        <v/>
      </c>
    </row>
    <row r="308" customFormat="false" ht="12.8" hidden="false" customHeight="false" outlineLevel="0" collapsed="false">
      <c r="A308" s="1" t="s">
        <v>1570</v>
      </c>
      <c r="B308" s="31" t="s">
        <v>1571</v>
      </c>
      <c r="D308" s="32" t="str">
        <f aca="true">IF(C308&lt;&gt;"", SUM(INDEX(INDIRECT("'" &amp; B308 &amp; "'.$A$1:$Z$1000"), 0, MATCH("count", INDIRECT("'" &amp; B308 &amp; "'.$A$1:$Z$1"), 0))), "")</f>
        <v/>
      </c>
      <c r="E308" s="33" t="str">
        <f aca="true">IF(C308&lt;&gt;"", SUM(INDEX(INDIRECT("'" &amp; B308 &amp; "'.$A$1:$Z$1000"), 0, MATCH("cost", INDIRECT("'" &amp; B308 &amp; "'.$A$1:$Z$1"), 0))), "")</f>
        <v/>
      </c>
      <c r="F308" s="40" t="str">
        <f aca="true">IF(C308&lt;&gt;"", SUM(INDEX(INDIRECT("'" &amp; B308 &amp; "'.$A$1:$Z$1000"), 0, MATCH("total_assembly_time_min", INDIRECT("'" &amp; B308 &amp; "'.$A$1:$Z$1"), 0)))/60, "")</f>
        <v/>
      </c>
      <c r="G308" s="33" t="str">
        <f aca="false">IF(C308&lt;&gt;"", values!$B$2, "")</f>
        <v/>
      </c>
      <c r="H308" s="33" t="str">
        <f aca="false">IF(C308&lt;&gt;"", F308*G308, "")</f>
        <v/>
      </c>
      <c r="I308" s="33" t="str">
        <f aca="false">IF(C308&lt;&gt;"", H308+E308, "")</f>
        <v/>
      </c>
      <c r="K308" s="33" t="str">
        <f aca="false">IF(C308&lt;&gt;"", L308-I308, "")</f>
        <v/>
      </c>
      <c r="L308" s="33" t="str">
        <f aca="false">IF(C308&lt;&gt;"", I308/(1-J308), "")</f>
        <v/>
      </c>
      <c r="M308" s="33" t="str">
        <f aca="false">IF(C308&lt;&gt;"", values!$A$2, "")</f>
        <v/>
      </c>
      <c r="N308" s="33" t="str">
        <f aca="false">IF(C308&lt;&gt;"", O308-L308, "")</f>
        <v/>
      </c>
      <c r="O308" s="33" t="str">
        <f aca="false">IF(C308&lt;&gt;"", L308/(1-M308), "")</f>
        <v/>
      </c>
    </row>
    <row r="309" customFormat="false" ht="12.8" hidden="false" customHeight="false" outlineLevel="0" collapsed="false">
      <c r="A309" s="1" t="s">
        <v>1572</v>
      </c>
      <c r="B309" s="31" t="s">
        <v>1573</v>
      </c>
      <c r="D309" s="32" t="str">
        <f aca="true">IF(C309&lt;&gt;"", SUM(INDEX(INDIRECT("'" &amp; B309 &amp; "'.$A$1:$Z$1000"), 0, MATCH("count", INDIRECT("'" &amp; B309 &amp; "'.$A$1:$Z$1"), 0))), "")</f>
        <v/>
      </c>
      <c r="E309" s="33" t="str">
        <f aca="true">IF(C309&lt;&gt;"", SUM(INDEX(INDIRECT("'" &amp; B309 &amp; "'.$A$1:$Z$1000"), 0, MATCH("cost", INDIRECT("'" &amp; B309 &amp; "'.$A$1:$Z$1"), 0))), "")</f>
        <v/>
      </c>
      <c r="F309" s="40" t="str">
        <f aca="true">IF(C309&lt;&gt;"", SUM(INDEX(INDIRECT("'" &amp; B309 &amp; "'.$A$1:$Z$1000"), 0, MATCH("total_assembly_time_min", INDIRECT("'" &amp; B309 &amp; "'.$A$1:$Z$1"), 0)))/60, "")</f>
        <v/>
      </c>
      <c r="G309" s="33" t="str">
        <f aca="false">IF(C309&lt;&gt;"", values!$B$2, "")</f>
        <v/>
      </c>
      <c r="H309" s="33" t="str">
        <f aca="false">IF(C309&lt;&gt;"", F309*G309, "")</f>
        <v/>
      </c>
      <c r="I309" s="33" t="str">
        <f aca="false">IF(C309&lt;&gt;"", H309+E309, "")</f>
        <v/>
      </c>
      <c r="K309" s="33" t="str">
        <f aca="false">IF(C309&lt;&gt;"", L309-I309, "")</f>
        <v/>
      </c>
      <c r="L309" s="33" t="str">
        <f aca="false">IF(C309&lt;&gt;"", I309/(1-J309), "")</f>
        <v/>
      </c>
      <c r="M309" s="33" t="str">
        <f aca="false">IF(C309&lt;&gt;"", values!$A$2, "")</f>
        <v/>
      </c>
      <c r="N309" s="33" t="str">
        <f aca="false">IF(C309&lt;&gt;"", O309-L309, "")</f>
        <v/>
      </c>
      <c r="O309" s="33" t="str">
        <f aca="false">IF(C309&lt;&gt;"", L309/(1-M309), "")</f>
        <v/>
      </c>
    </row>
    <row r="310" customFormat="false" ht="12.8" hidden="false" customHeight="false" outlineLevel="0" collapsed="false">
      <c r="A310" s="1" t="s">
        <v>1574</v>
      </c>
      <c r="B310" s="31" t="s">
        <v>1575</v>
      </c>
      <c r="D310" s="32" t="str">
        <f aca="true">IF(C310&lt;&gt;"", SUM(INDEX(INDIRECT("'" &amp; B310 &amp; "'.$A$1:$Z$1000"), 0, MATCH("count", INDIRECT("'" &amp; B310 &amp; "'.$A$1:$Z$1"), 0))), "")</f>
        <v/>
      </c>
      <c r="E310" s="33" t="str">
        <f aca="true">IF(C310&lt;&gt;"", SUM(INDEX(INDIRECT("'" &amp; B310 &amp; "'.$A$1:$Z$1000"), 0, MATCH("cost", INDIRECT("'" &amp; B310 &amp; "'.$A$1:$Z$1"), 0))), "")</f>
        <v/>
      </c>
      <c r="F310" s="40" t="str">
        <f aca="true">IF(C310&lt;&gt;"", SUM(INDEX(INDIRECT("'" &amp; B310 &amp; "'.$A$1:$Z$1000"), 0, MATCH("total_assembly_time_min", INDIRECT("'" &amp; B310 &amp; "'.$A$1:$Z$1"), 0)))/60, "")</f>
        <v/>
      </c>
      <c r="G310" s="33" t="str">
        <f aca="false">IF(C310&lt;&gt;"", values!$B$2, "")</f>
        <v/>
      </c>
      <c r="H310" s="33" t="str">
        <f aca="false">IF(C310&lt;&gt;"", F310*G310, "")</f>
        <v/>
      </c>
      <c r="I310" s="33" t="str">
        <f aca="false">IF(C310&lt;&gt;"", H310+E310, "")</f>
        <v/>
      </c>
      <c r="K310" s="33" t="str">
        <f aca="false">IF(C310&lt;&gt;"", L310-I310, "")</f>
        <v/>
      </c>
      <c r="L310" s="33" t="str">
        <f aca="false">IF(C310&lt;&gt;"", I310/(1-J310), "")</f>
        <v/>
      </c>
      <c r="M310" s="33" t="str">
        <f aca="false">IF(C310&lt;&gt;"", values!$A$2, "")</f>
        <v/>
      </c>
      <c r="N310" s="33" t="str">
        <f aca="false">IF(C310&lt;&gt;"", O310-L310, "")</f>
        <v/>
      </c>
      <c r="O310" s="33" t="str">
        <f aca="false">IF(C310&lt;&gt;"", L310/(1-M310), "")</f>
        <v/>
      </c>
    </row>
    <row r="311" customFormat="false" ht="12.8" hidden="false" customHeight="false" outlineLevel="0" collapsed="false">
      <c r="A311" s="1" t="s">
        <v>1576</v>
      </c>
      <c r="B311" s="31" t="s">
        <v>1577</v>
      </c>
      <c r="D311" s="32" t="str">
        <f aca="true">IF(C311&lt;&gt;"", SUM(INDEX(INDIRECT("'" &amp; B311 &amp; "'.$A$1:$Z$1000"), 0, MATCH("count", INDIRECT("'" &amp; B311 &amp; "'.$A$1:$Z$1"), 0))), "")</f>
        <v/>
      </c>
      <c r="E311" s="33" t="str">
        <f aca="true">IF(C311&lt;&gt;"", SUM(INDEX(INDIRECT("'" &amp; B311 &amp; "'.$A$1:$Z$1000"), 0, MATCH("cost", INDIRECT("'" &amp; B311 &amp; "'.$A$1:$Z$1"), 0))), "")</f>
        <v/>
      </c>
      <c r="F311" s="40" t="str">
        <f aca="true">IF(C311&lt;&gt;"", SUM(INDEX(INDIRECT("'" &amp; B311 &amp; "'.$A$1:$Z$1000"), 0, MATCH("total_assembly_time_min", INDIRECT("'" &amp; B311 &amp; "'.$A$1:$Z$1"), 0)))/60, "")</f>
        <v/>
      </c>
      <c r="G311" s="33" t="str">
        <f aca="false">IF(C311&lt;&gt;"", values!$B$2, "")</f>
        <v/>
      </c>
      <c r="H311" s="33" t="str">
        <f aca="false">IF(C311&lt;&gt;"", F311*G311, "")</f>
        <v/>
      </c>
      <c r="I311" s="33" t="str">
        <f aca="false">IF(C311&lt;&gt;"", H311+E311, "")</f>
        <v/>
      </c>
      <c r="K311" s="33" t="str">
        <f aca="false">IF(C311&lt;&gt;"", L311-I311, "")</f>
        <v/>
      </c>
      <c r="L311" s="33" t="str">
        <f aca="false">IF(C311&lt;&gt;"", I311/(1-J311), "")</f>
        <v/>
      </c>
      <c r="M311" s="33" t="str">
        <f aca="false">IF(C311&lt;&gt;"", values!$A$2, "")</f>
        <v/>
      </c>
      <c r="N311" s="33" t="str">
        <f aca="false">IF(C311&lt;&gt;"", O311-L311, "")</f>
        <v/>
      </c>
      <c r="O311" s="33" t="str">
        <f aca="false">IF(C311&lt;&gt;"", L311/(1-M311), "")</f>
        <v/>
      </c>
    </row>
    <row r="312" customFormat="false" ht="12.8" hidden="false" customHeight="false" outlineLevel="0" collapsed="false">
      <c r="A312" s="1" t="s">
        <v>1578</v>
      </c>
      <c r="B312" s="31" t="s">
        <v>1579</v>
      </c>
      <c r="D312" s="32" t="str">
        <f aca="true">IF(C312&lt;&gt;"", SUM(INDEX(INDIRECT("'" &amp; B312 &amp; "'.$A$1:$Z$1000"), 0, MATCH("count", INDIRECT("'" &amp; B312 &amp; "'.$A$1:$Z$1"), 0))), "")</f>
        <v/>
      </c>
      <c r="E312" s="33" t="str">
        <f aca="true">IF(C312&lt;&gt;"", SUM(INDEX(INDIRECT("'" &amp; B312 &amp; "'.$A$1:$Z$1000"), 0, MATCH("cost", INDIRECT("'" &amp; B312 &amp; "'.$A$1:$Z$1"), 0))), "")</f>
        <v/>
      </c>
      <c r="F312" s="40" t="str">
        <f aca="true">IF(C312&lt;&gt;"", SUM(INDEX(INDIRECT("'" &amp; B312 &amp; "'.$A$1:$Z$1000"), 0, MATCH("total_assembly_time_min", INDIRECT("'" &amp; B312 &amp; "'.$A$1:$Z$1"), 0)))/60, "")</f>
        <v/>
      </c>
      <c r="G312" s="33" t="str">
        <f aca="false">IF(C312&lt;&gt;"", values!$B$2, "")</f>
        <v/>
      </c>
      <c r="H312" s="33" t="str">
        <f aca="false">IF(C312&lt;&gt;"", F312*G312, "")</f>
        <v/>
      </c>
      <c r="I312" s="33" t="str">
        <f aca="false">IF(C312&lt;&gt;"", H312+E312, "")</f>
        <v/>
      </c>
      <c r="K312" s="33" t="str">
        <f aca="false">IF(C312&lt;&gt;"", L312-I312, "")</f>
        <v/>
      </c>
      <c r="L312" s="33" t="str">
        <f aca="false">IF(C312&lt;&gt;"", I312/(1-J312), "")</f>
        <v/>
      </c>
      <c r="M312" s="33" t="str">
        <f aca="false">IF(C312&lt;&gt;"", values!$A$2, "")</f>
        <v/>
      </c>
      <c r="N312" s="33" t="str">
        <f aca="false">IF(C312&lt;&gt;"", O312-L312, "")</f>
        <v/>
      </c>
      <c r="O312" s="33" t="str">
        <f aca="false">IF(C312&lt;&gt;"", L312/(1-M312), "")</f>
        <v/>
      </c>
    </row>
    <row r="313" customFormat="false" ht="12.8" hidden="false" customHeight="false" outlineLevel="0" collapsed="false">
      <c r="A313" s="1" t="s">
        <v>1580</v>
      </c>
      <c r="B313" s="31" t="s">
        <v>1581</v>
      </c>
      <c r="D313" s="32" t="str">
        <f aca="true">IF(C313&lt;&gt;"", SUM(INDEX(INDIRECT("'" &amp; B313 &amp; "'.$A$1:$Z$1000"), 0, MATCH("count", INDIRECT("'" &amp; B313 &amp; "'.$A$1:$Z$1"), 0))), "")</f>
        <v/>
      </c>
      <c r="E313" s="33" t="str">
        <f aca="true">IF(C313&lt;&gt;"", SUM(INDEX(INDIRECT("'" &amp; B313 &amp; "'.$A$1:$Z$1000"), 0, MATCH("cost", INDIRECT("'" &amp; B313 &amp; "'.$A$1:$Z$1"), 0))), "")</f>
        <v/>
      </c>
      <c r="F313" s="40" t="str">
        <f aca="true">IF(C313&lt;&gt;"", SUM(INDEX(INDIRECT("'" &amp; B313 &amp; "'.$A$1:$Z$1000"), 0, MATCH("total_assembly_time_min", INDIRECT("'" &amp; B313 &amp; "'.$A$1:$Z$1"), 0)))/60, "")</f>
        <v/>
      </c>
      <c r="G313" s="33" t="str">
        <f aca="false">IF(C313&lt;&gt;"", values!$B$2, "")</f>
        <v/>
      </c>
      <c r="H313" s="33" t="str">
        <f aca="false">IF(C313&lt;&gt;"", F313*G313, "")</f>
        <v/>
      </c>
      <c r="I313" s="33" t="str">
        <f aca="false">IF(C313&lt;&gt;"", H313+E313, "")</f>
        <v/>
      </c>
      <c r="K313" s="33" t="str">
        <f aca="false">IF(C313&lt;&gt;"", L313-I313, "")</f>
        <v/>
      </c>
      <c r="L313" s="33" t="str">
        <f aca="false">IF(C313&lt;&gt;"", I313/(1-J313), "")</f>
        <v/>
      </c>
      <c r="M313" s="33" t="str">
        <f aca="false">IF(C313&lt;&gt;"", values!$A$2, "")</f>
        <v/>
      </c>
      <c r="N313" s="33" t="str">
        <f aca="false">IF(C313&lt;&gt;"", O313-L313, "")</f>
        <v/>
      </c>
      <c r="O313" s="33" t="str">
        <f aca="false">IF(C313&lt;&gt;"", L313/(1-M313), "")</f>
        <v/>
      </c>
    </row>
    <row r="314" customFormat="false" ht="12.8" hidden="false" customHeight="false" outlineLevel="0" collapsed="false">
      <c r="A314" s="1" t="s">
        <v>1582</v>
      </c>
      <c r="B314" s="31" t="s">
        <v>1583</v>
      </c>
      <c r="D314" s="32" t="str">
        <f aca="true">IF(C314&lt;&gt;"", SUM(INDEX(INDIRECT("'" &amp; B314 &amp; "'.$A$1:$Z$1000"), 0, MATCH("count", INDIRECT("'" &amp; B314 &amp; "'.$A$1:$Z$1"), 0))), "")</f>
        <v/>
      </c>
      <c r="E314" s="33" t="str">
        <f aca="true">IF(C314&lt;&gt;"", SUM(INDEX(INDIRECT("'" &amp; B314 &amp; "'.$A$1:$Z$1000"), 0, MATCH("cost", INDIRECT("'" &amp; B314 &amp; "'.$A$1:$Z$1"), 0))), "")</f>
        <v/>
      </c>
      <c r="F314" s="40" t="str">
        <f aca="true">IF(C314&lt;&gt;"", SUM(INDEX(INDIRECT("'" &amp; B314 &amp; "'.$A$1:$Z$1000"), 0, MATCH("total_assembly_time_min", INDIRECT("'" &amp; B314 &amp; "'.$A$1:$Z$1"), 0)))/60, "")</f>
        <v/>
      </c>
      <c r="G314" s="33" t="str">
        <f aca="false">IF(C314&lt;&gt;"", values!$B$2, "")</f>
        <v/>
      </c>
      <c r="H314" s="33" t="str">
        <f aca="false">IF(C314&lt;&gt;"", F314*G314, "")</f>
        <v/>
      </c>
      <c r="I314" s="33" t="str">
        <f aca="false">IF(C314&lt;&gt;"", H314+E314, "")</f>
        <v/>
      </c>
      <c r="K314" s="33" t="str">
        <f aca="false">IF(C314&lt;&gt;"", L314-I314, "")</f>
        <v/>
      </c>
      <c r="L314" s="33" t="str">
        <f aca="false">IF(C314&lt;&gt;"", I314/(1-J314), "")</f>
        <v/>
      </c>
      <c r="M314" s="33" t="str">
        <f aca="false">IF(C314&lt;&gt;"", values!$A$2, "")</f>
        <v/>
      </c>
      <c r="N314" s="33" t="str">
        <f aca="false">IF(C314&lt;&gt;"", O314-L314, "")</f>
        <v/>
      </c>
      <c r="O314" s="33" t="str">
        <f aca="false">IF(C314&lt;&gt;"", L314/(1-M314), "")</f>
        <v/>
      </c>
    </row>
    <row r="315" customFormat="false" ht="12.8" hidden="false" customHeight="false" outlineLevel="0" collapsed="false">
      <c r="A315" s="1" t="s">
        <v>1584</v>
      </c>
      <c r="B315" s="31" t="s">
        <v>1585</v>
      </c>
      <c r="D315" s="32" t="str">
        <f aca="true">IF(C315&lt;&gt;"", SUM(INDEX(INDIRECT("'" &amp; B315 &amp; "'.$A$1:$Z$1000"), 0, MATCH("count", INDIRECT("'" &amp; B315 &amp; "'.$A$1:$Z$1"), 0))), "")</f>
        <v/>
      </c>
      <c r="E315" s="33" t="str">
        <f aca="true">IF(C315&lt;&gt;"", SUM(INDEX(INDIRECT("'" &amp; B315 &amp; "'.$A$1:$Z$1000"), 0, MATCH("cost", INDIRECT("'" &amp; B315 &amp; "'.$A$1:$Z$1"), 0))), "")</f>
        <v/>
      </c>
      <c r="F315" s="40" t="str">
        <f aca="true">IF(C315&lt;&gt;"", SUM(INDEX(INDIRECT("'" &amp; B315 &amp; "'.$A$1:$Z$1000"), 0, MATCH("total_assembly_time_min", INDIRECT("'" &amp; B315 &amp; "'.$A$1:$Z$1"), 0)))/60, "")</f>
        <v/>
      </c>
      <c r="G315" s="33" t="str">
        <f aca="false">IF(C315&lt;&gt;"", values!$B$2, "")</f>
        <v/>
      </c>
      <c r="H315" s="33" t="str">
        <f aca="false">IF(C315&lt;&gt;"", F315*G315, "")</f>
        <v/>
      </c>
      <c r="I315" s="33" t="str">
        <f aca="false">IF(C315&lt;&gt;"", H315+E315, "")</f>
        <v/>
      </c>
      <c r="K315" s="33" t="str">
        <f aca="false">IF(C315&lt;&gt;"", L315-I315, "")</f>
        <v/>
      </c>
      <c r="L315" s="33" t="str">
        <f aca="false">IF(C315&lt;&gt;"", I315/(1-J315), "")</f>
        <v/>
      </c>
      <c r="M315" s="33" t="str">
        <f aca="false">IF(C315&lt;&gt;"", values!$A$2, "")</f>
        <v/>
      </c>
      <c r="N315" s="33" t="str">
        <f aca="false">IF(C315&lt;&gt;"", O315-L315, "")</f>
        <v/>
      </c>
      <c r="O315" s="33" t="str">
        <f aca="false">IF(C315&lt;&gt;"", L315/(1-M315), "")</f>
        <v/>
      </c>
    </row>
    <row r="316" customFormat="false" ht="12.8" hidden="false" customHeight="false" outlineLevel="0" collapsed="false">
      <c r="A316" s="1" t="s">
        <v>1586</v>
      </c>
      <c r="B316" s="31" t="s">
        <v>1587</v>
      </c>
      <c r="D316" s="32" t="str">
        <f aca="true">IF(C316&lt;&gt;"", SUM(INDEX(INDIRECT("'" &amp; B316 &amp; "'.$A$1:$Z$1000"), 0, MATCH("count", INDIRECT("'" &amp; B316 &amp; "'.$A$1:$Z$1"), 0))), "")</f>
        <v/>
      </c>
      <c r="E316" s="33" t="str">
        <f aca="true">IF(C316&lt;&gt;"", SUM(INDEX(INDIRECT("'" &amp; B316 &amp; "'.$A$1:$Z$1000"), 0, MATCH("cost", INDIRECT("'" &amp; B316 &amp; "'.$A$1:$Z$1"), 0))), "")</f>
        <v/>
      </c>
      <c r="F316" s="40" t="str">
        <f aca="true">IF(C316&lt;&gt;"", SUM(INDEX(INDIRECT("'" &amp; B316 &amp; "'.$A$1:$Z$1000"), 0, MATCH("total_assembly_time_min", INDIRECT("'" &amp; B316 &amp; "'.$A$1:$Z$1"), 0)))/60, "")</f>
        <v/>
      </c>
      <c r="G316" s="33" t="str">
        <f aca="false">IF(C316&lt;&gt;"", values!$B$2, "")</f>
        <v/>
      </c>
      <c r="H316" s="33" t="str">
        <f aca="false">IF(C316&lt;&gt;"", F316*G316, "")</f>
        <v/>
      </c>
      <c r="I316" s="33" t="str">
        <f aca="false">IF(C316&lt;&gt;"", H316+E316, "")</f>
        <v/>
      </c>
      <c r="K316" s="33" t="str">
        <f aca="false">IF(C316&lt;&gt;"", L316-I316, "")</f>
        <v/>
      </c>
      <c r="L316" s="33" t="str">
        <f aca="false">IF(C316&lt;&gt;"", I316/(1-J316), "")</f>
        <v/>
      </c>
      <c r="M316" s="33" t="str">
        <f aca="false">IF(C316&lt;&gt;"", values!$A$2, "")</f>
        <v/>
      </c>
      <c r="N316" s="33" t="str">
        <f aca="false">IF(C316&lt;&gt;"", O316-L316, "")</f>
        <v/>
      </c>
      <c r="O316" s="33" t="str">
        <f aca="false">IF(C316&lt;&gt;"", L316/(1-M316), "")</f>
        <v/>
      </c>
    </row>
    <row r="317" customFormat="false" ht="12.8" hidden="false" customHeight="false" outlineLevel="0" collapsed="false">
      <c r="A317" s="1" t="s">
        <v>1588</v>
      </c>
      <c r="B317" s="31" t="s">
        <v>1589</v>
      </c>
      <c r="D317" s="32" t="str">
        <f aca="true">IF(C317&lt;&gt;"", SUM(INDEX(INDIRECT("'" &amp; B317 &amp; "'.$A$1:$Z$1000"), 0, MATCH("count", INDIRECT("'" &amp; B317 &amp; "'.$A$1:$Z$1"), 0))), "")</f>
        <v/>
      </c>
      <c r="E317" s="33" t="str">
        <f aca="true">IF(C317&lt;&gt;"", SUM(INDEX(INDIRECT("'" &amp; B317 &amp; "'.$A$1:$Z$1000"), 0, MATCH("cost", INDIRECT("'" &amp; B317 &amp; "'.$A$1:$Z$1"), 0))), "")</f>
        <v/>
      </c>
      <c r="F317" s="40" t="str">
        <f aca="true">IF(C317&lt;&gt;"", SUM(INDEX(INDIRECT("'" &amp; B317 &amp; "'.$A$1:$Z$1000"), 0, MATCH("total_assembly_time_min", INDIRECT("'" &amp; B317 &amp; "'.$A$1:$Z$1"), 0)))/60, "")</f>
        <v/>
      </c>
      <c r="G317" s="33" t="str">
        <f aca="false">IF(C317&lt;&gt;"", values!$B$2, "")</f>
        <v/>
      </c>
      <c r="H317" s="33" t="str">
        <f aca="false">IF(C317&lt;&gt;"", F317*G317, "")</f>
        <v/>
      </c>
      <c r="I317" s="33" t="str">
        <f aca="false">IF(C317&lt;&gt;"", H317+E317, "")</f>
        <v/>
      </c>
      <c r="K317" s="33" t="str">
        <f aca="false">IF(C317&lt;&gt;"", L317-I317, "")</f>
        <v/>
      </c>
      <c r="L317" s="33" t="str">
        <f aca="false">IF(C317&lt;&gt;"", I317/(1-J317), "")</f>
        <v/>
      </c>
      <c r="M317" s="33" t="str">
        <f aca="false">IF(C317&lt;&gt;"", values!$A$2, "")</f>
        <v/>
      </c>
      <c r="N317" s="33" t="str">
        <f aca="false">IF(C317&lt;&gt;"", O317-L317, "")</f>
        <v/>
      </c>
      <c r="O317" s="33" t="str">
        <f aca="false">IF(C317&lt;&gt;"", L317/(1-M317), "")</f>
        <v/>
      </c>
    </row>
    <row r="318" customFormat="false" ht="12.8" hidden="false" customHeight="false" outlineLevel="0" collapsed="false">
      <c r="A318" s="1" t="s">
        <v>1590</v>
      </c>
      <c r="B318" s="31" t="s">
        <v>1591</v>
      </c>
      <c r="D318" s="32" t="str">
        <f aca="true">IF(C318&lt;&gt;"", SUM(INDEX(INDIRECT("'" &amp; B318 &amp; "'.$A$1:$Z$1000"), 0, MATCH("count", INDIRECT("'" &amp; B318 &amp; "'.$A$1:$Z$1"), 0))), "")</f>
        <v/>
      </c>
      <c r="E318" s="33" t="str">
        <f aca="true">IF(C318&lt;&gt;"", SUM(INDEX(INDIRECT("'" &amp; B318 &amp; "'.$A$1:$Z$1000"), 0, MATCH("cost", INDIRECT("'" &amp; B318 &amp; "'.$A$1:$Z$1"), 0))), "")</f>
        <v/>
      </c>
      <c r="F318" s="40" t="str">
        <f aca="true">IF(C318&lt;&gt;"", SUM(INDEX(INDIRECT("'" &amp; B318 &amp; "'.$A$1:$Z$1000"), 0, MATCH("total_assembly_time_min", INDIRECT("'" &amp; B318 &amp; "'.$A$1:$Z$1"), 0)))/60, "")</f>
        <v/>
      </c>
      <c r="G318" s="33" t="str">
        <f aca="false">IF(C318&lt;&gt;"", values!$B$2, "")</f>
        <v/>
      </c>
      <c r="H318" s="33" t="str">
        <f aca="false">IF(C318&lt;&gt;"", F318*G318, "")</f>
        <v/>
      </c>
      <c r="I318" s="33" t="str">
        <f aca="false">IF(C318&lt;&gt;"", H318+E318, "")</f>
        <v/>
      </c>
      <c r="K318" s="33" t="str">
        <f aca="false">IF(C318&lt;&gt;"", L318-I318, "")</f>
        <v/>
      </c>
      <c r="L318" s="33" t="str">
        <f aca="false">IF(C318&lt;&gt;"", I318/(1-J318), "")</f>
        <v/>
      </c>
      <c r="M318" s="33" t="str">
        <f aca="false">IF(C318&lt;&gt;"", values!$A$2, "")</f>
        <v/>
      </c>
      <c r="N318" s="33" t="str">
        <f aca="false">IF(C318&lt;&gt;"", O318-L318, "")</f>
        <v/>
      </c>
      <c r="O318" s="33" t="str">
        <f aca="false">IF(C318&lt;&gt;"", L318/(1-M318), "")</f>
        <v/>
      </c>
    </row>
    <row r="319" customFormat="false" ht="12.8" hidden="false" customHeight="false" outlineLevel="0" collapsed="false">
      <c r="A319" s="1" t="s">
        <v>1592</v>
      </c>
      <c r="B319" s="31" t="s">
        <v>1593</v>
      </c>
      <c r="D319" s="32" t="str">
        <f aca="true">IF(C319&lt;&gt;"", SUM(INDEX(INDIRECT("'" &amp; B319 &amp; "'.$A$1:$Z$1000"), 0, MATCH("count", INDIRECT("'" &amp; B319 &amp; "'.$A$1:$Z$1"), 0))), "")</f>
        <v/>
      </c>
      <c r="E319" s="33" t="str">
        <f aca="true">IF(C319&lt;&gt;"", SUM(INDEX(INDIRECT("'" &amp; B319 &amp; "'.$A$1:$Z$1000"), 0, MATCH("cost", INDIRECT("'" &amp; B319 &amp; "'.$A$1:$Z$1"), 0))), "")</f>
        <v/>
      </c>
      <c r="F319" s="40" t="str">
        <f aca="true">IF(C319&lt;&gt;"", SUM(INDEX(INDIRECT("'" &amp; B319 &amp; "'.$A$1:$Z$1000"), 0, MATCH("total_assembly_time_min", INDIRECT("'" &amp; B319 &amp; "'.$A$1:$Z$1"), 0)))/60, "")</f>
        <v/>
      </c>
      <c r="G319" s="33" t="str">
        <f aca="false">IF(C319&lt;&gt;"", values!$B$2, "")</f>
        <v/>
      </c>
      <c r="H319" s="33" t="str">
        <f aca="false">IF(C319&lt;&gt;"", F319*G319, "")</f>
        <v/>
      </c>
      <c r="I319" s="33" t="str">
        <f aca="false">IF(C319&lt;&gt;"", H319+E319, "")</f>
        <v/>
      </c>
      <c r="K319" s="33" t="str">
        <f aca="false">IF(C319&lt;&gt;"", L319-I319, "")</f>
        <v/>
      </c>
      <c r="L319" s="33" t="str">
        <f aca="false">IF(C319&lt;&gt;"", I319/(1-J319), "")</f>
        <v/>
      </c>
      <c r="M319" s="33" t="str">
        <f aca="false">IF(C319&lt;&gt;"", values!$A$2, "")</f>
        <v/>
      </c>
      <c r="N319" s="33" t="str">
        <f aca="false">IF(C319&lt;&gt;"", O319-L319, "")</f>
        <v/>
      </c>
      <c r="O319" s="33" t="str">
        <f aca="false">IF(C319&lt;&gt;"", L319/(1-M319), "")</f>
        <v/>
      </c>
    </row>
    <row r="320" customFormat="false" ht="12.8" hidden="false" customHeight="false" outlineLevel="0" collapsed="false">
      <c r="A320" s="1" t="s">
        <v>1594</v>
      </c>
      <c r="B320" s="31" t="s">
        <v>1595</v>
      </c>
      <c r="D320" s="32" t="str">
        <f aca="true">IF(C320&lt;&gt;"", SUM(INDEX(INDIRECT("'" &amp; B320 &amp; "'.$A$1:$Z$1000"), 0, MATCH("count", INDIRECT("'" &amp; B320 &amp; "'.$A$1:$Z$1"), 0))), "")</f>
        <v/>
      </c>
      <c r="E320" s="33" t="str">
        <f aca="true">IF(C320&lt;&gt;"", SUM(INDEX(INDIRECT("'" &amp; B320 &amp; "'.$A$1:$Z$1000"), 0, MATCH("cost", INDIRECT("'" &amp; B320 &amp; "'.$A$1:$Z$1"), 0))), "")</f>
        <v/>
      </c>
      <c r="F320" s="40" t="str">
        <f aca="true">IF(C320&lt;&gt;"", SUM(INDEX(INDIRECT("'" &amp; B320 &amp; "'.$A$1:$Z$1000"), 0, MATCH("total_assembly_time_min", INDIRECT("'" &amp; B320 &amp; "'.$A$1:$Z$1"), 0)))/60, "")</f>
        <v/>
      </c>
      <c r="G320" s="33" t="str">
        <f aca="false">IF(C320&lt;&gt;"", values!$B$2, "")</f>
        <v/>
      </c>
      <c r="H320" s="33" t="str">
        <f aca="false">IF(C320&lt;&gt;"", F320*G320, "")</f>
        <v/>
      </c>
      <c r="I320" s="33" t="str">
        <f aca="false">IF(C320&lt;&gt;"", H320+E320, "")</f>
        <v/>
      </c>
      <c r="K320" s="33" t="str">
        <f aca="false">IF(C320&lt;&gt;"", L320-I320, "")</f>
        <v/>
      </c>
      <c r="L320" s="33" t="str">
        <f aca="false">IF(C320&lt;&gt;"", I320/(1-J320), "")</f>
        <v/>
      </c>
      <c r="M320" s="33" t="str">
        <f aca="false">IF(C320&lt;&gt;"", values!$A$2, "")</f>
        <v/>
      </c>
      <c r="N320" s="33" t="str">
        <f aca="false">IF(C320&lt;&gt;"", O320-L320, "")</f>
        <v/>
      </c>
      <c r="O320" s="33" t="str">
        <f aca="false">IF(C320&lt;&gt;"", L320/(1-M320), "")</f>
        <v/>
      </c>
    </row>
    <row r="321" customFormat="false" ht="12.8" hidden="false" customHeight="false" outlineLevel="0" collapsed="false">
      <c r="A321" s="1" t="s">
        <v>1596</v>
      </c>
      <c r="B321" s="31" t="s">
        <v>1597</v>
      </c>
      <c r="D321" s="32" t="str">
        <f aca="true">IF(C321&lt;&gt;"", SUM(INDEX(INDIRECT("'" &amp; B321 &amp; "'.$A$1:$Z$1000"), 0, MATCH("count", INDIRECT("'" &amp; B321 &amp; "'.$A$1:$Z$1"), 0))), "")</f>
        <v/>
      </c>
      <c r="E321" s="33" t="str">
        <f aca="true">IF(C321&lt;&gt;"", SUM(INDEX(INDIRECT("'" &amp; B321 &amp; "'.$A$1:$Z$1000"), 0, MATCH("cost", INDIRECT("'" &amp; B321 &amp; "'.$A$1:$Z$1"), 0))), "")</f>
        <v/>
      </c>
      <c r="F321" s="40" t="str">
        <f aca="true">IF(C321&lt;&gt;"", SUM(INDEX(INDIRECT("'" &amp; B321 &amp; "'.$A$1:$Z$1000"), 0, MATCH("total_assembly_time_min", INDIRECT("'" &amp; B321 &amp; "'.$A$1:$Z$1"), 0)))/60, "")</f>
        <v/>
      </c>
      <c r="G321" s="33" t="str">
        <f aca="false">IF(C321&lt;&gt;"", values!$B$2, "")</f>
        <v/>
      </c>
      <c r="H321" s="33" t="str">
        <f aca="false">IF(C321&lt;&gt;"", F321*G321, "")</f>
        <v/>
      </c>
      <c r="I321" s="33" t="str">
        <f aca="false">IF(C321&lt;&gt;"", H321+E321, "")</f>
        <v/>
      </c>
      <c r="K321" s="33" t="str">
        <f aca="false">IF(C321&lt;&gt;"", L321-I321, "")</f>
        <v/>
      </c>
      <c r="L321" s="33" t="str">
        <f aca="false">IF(C321&lt;&gt;"", I321/(1-J321), "")</f>
        <v/>
      </c>
      <c r="M321" s="33" t="str">
        <f aca="false">IF(C321&lt;&gt;"", values!$A$2, "")</f>
        <v/>
      </c>
      <c r="N321" s="33" t="str">
        <f aca="false">IF(C321&lt;&gt;"", O321-L321, "")</f>
        <v/>
      </c>
      <c r="O321" s="33" t="str">
        <f aca="false">IF(C321&lt;&gt;"", L321/(1-M321), "")</f>
        <v/>
      </c>
    </row>
    <row r="322" customFormat="false" ht="12.8" hidden="false" customHeight="false" outlineLevel="0" collapsed="false">
      <c r="A322" s="1" t="s">
        <v>1598</v>
      </c>
      <c r="B322" s="31" t="s">
        <v>1599</v>
      </c>
      <c r="D322" s="32" t="str">
        <f aca="true">IF(C322&lt;&gt;"", SUM(INDEX(INDIRECT("'" &amp; B322 &amp; "'.$A$1:$Z$1000"), 0, MATCH("count", INDIRECT("'" &amp; B322 &amp; "'.$A$1:$Z$1"), 0))), "")</f>
        <v/>
      </c>
      <c r="E322" s="33" t="str">
        <f aca="true">IF(C322&lt;&gt;"", SUM(INDEX(INDIRECT("'" &amp; B322 &amp; "'.$A$1:$Z$1000"), 0, MATCH("cost", INDIRECT("'" &amp; B322 &amp; "'.$A$1:$Z$1"), 0))), "")</f>
        <v/>
      </c>
      <c r="F322" s="40" t="str">
        <f aca="true">IF(C322&lt;&gt;"", SUM(INDEX(INDIRECT("'" &amp; B322 &amp; "'.$A$1:$Z$1000"), 0, MATCH("total_assembly_time_min", INDIRECT("'" &amp; B322 &amp; "'.$A$1:$Z$1"), 0)))/60, "")</f>
        <v/>
      </c>
      <c r="G322" s="33" t="str">
        <f aca="false">IF(C322&lt;&gt;"", values!$B$2, "")</f>
        <v/>
      </c>
      <c r="H322" s="33" t="str">
        <f aca="false">IF(C322&lt;&gt;"", F322*G322, "")</f>
        <v/>
      </c>
      <c r="I322" s="33" t="str">
        <f aca="false">IF(C322&lt;&gt;"", H322+E322, "")</f>
        <v/>
      </c>
      <c r="K322" s="33" t="str">
        <f aca="false">IF(C322&lt;&gt;"", L322-I322, "")</f>
        <v/>
      </c>
      <c r="L322" s="33" t="str">
        <f aca="false">IF(C322&lt;&gt;"", I322/(1-J322), "")</f>
        <v/>
      </c>
      <c r="M322" s="33" t="str">
        <f aca="false">IF(C322&lt;&gt;"", values!$A$2, "")</f>
        <v/>
      </c>
      <c r="N322" s="33" t="str">
        <f aca="false">IF(C322&lt;&gt;"", O322-L322, "")</f>
        <v/>
      </c>
      <c r="O322" s="33" t="str">
        <f aca="false">IF(C322&lt;&gt;"", L322/(1-M322), "")</f>
        <v/>
      </c>
    </row>
    <row r="323" customFormat="false" ht="12.8" hidden="false" customHeight="false" outlineLevel="0" collapsed="false">
      <c r="A323" s="1" t="s">
        <v>1600</v>
      </c>
      <c r="B323" s="31" t="s">
        <v>1601</v>
      </c>
      <c r="D323" s="32" t="str">
        <f aca="true">IF(C323&lt;&gt;"", SUM(INDEX(INDIRECT("'" &amp; B323 &amp; "'.$A$1:$Z$1000"), 0, MATCH("count", INDIRECT("'" &amp; B323 &amp; "'.$A$1:$Z$1"), 0))), "")</f>
        <v/>
      </c>
      <c r="E323" s="33" t="str">
        <f aca="true">IF(C323&lt;&gt;"", SUM(INDEX(INDIRECT("'" &amp; B323 &amp; "'.$A$1:$Z$1000"), 0, MATCH("cost", INDIRECT("'" &amp; B323 &amp; "'.$A$1:$Z$1"), 0))), "")</f>
        <v/>
      </c>
      <c r="F323" s="40" t="str">
        <f aca="true">IF(C323&lt;&gt;"", SUM(INDEX(INDIRECT("'" &amp; B323 &amp; "'.$A$1:$Z$1000"), 0, MATCH("total_assembly_time_min", INDIRECT("'" &amp; B323 &amp; "'.$A$1:$Z$1"), 0)))/60, "")</f>
        <v/>
      </c>
      <c r="G323" s="33" t="str">
        <f aca="false">IF(C323&lt;&gt;"", values!$B$2, "")</f>
        <v/>
      </c>
      <c r="H323" s="33" t="str">
        <f aca="false">IF(C323&lt;&gt;"", F323*G323, "")</f>
        <v/>
      </c>
      <c r="I323" s="33" t="str">
        <f aca="false">IF(C323&lt;&gt;"", H323+E323, "")</f>
        <v/>
      </c>
      <c r="K323" s="33" t="str">
        <f aca="false">IF(C323&lt;&gt;"", L323-I323, "")</f>
        <v/>
      </c>
      <c r="L323" s="33" t="str">
        <f aca="false">IF(C323&lt;&gt;"", I323/(1-J323), "")</f>
        <v/>
      </c>
      <c r="M323" s="33" t="str">
        <f aca="false">IF(C323&lt;&gt;"", values!$A$2, "")</f>
        <v/>
      </c>
      <c r="N323" s="33" t="str">
        <f aca="false">IF(C323&lt;&gt;"", O323-L323, "")</f>
        <v/>
      </c>
      <c r="O323" s="33" t="str">
        <f aca="false">IF(C323&lt;&gt;"", L323/(1-M323), "")</f>
        <v/>
      </c>
    </row>
    <row r="324" customFormat="false" ht="12.8" hidden="false" customHeight="false" outlineLevel="0" collapsed="false">
      <c r="A324" s="1" t="s">
        <v>1602</v>
      </c>
      <c r="B324" s="31" t="s">
        <v>1603</v>
      </c>
      <c r="D324" s="32" t="str">
        <f aca="true">IF(C324&lt;&gt;"", SUM(INDEX(INDIRECT("'" &amp; B324 &amp; "'.$A$1:$Z$1000"), 0, MATCH("count", INDIRECT("'" &amp; B324 &amp; "'.$A$1:$Z$1"), 0))), "")</f>
        <v/>
      </c>
      <c r="E324" s="33" t="str">
        <f aca="true">IF(C324&lt;&gt;"", SUM(INDEX(INDIRECT("'" &amp; B324 &amp; "'.$A$1:$Z$1000"), 0, MATCH("cost", INDIRECT("'" &amp; B324 &amp; "'.$A$1:$Z$1"), 0))), "")</f>
        <v/>
      </c>
      <c r="F324" s="40" t="str">
        <f aca="true">IF(C324&lt;&gt;"", SUM(INDEX(INDIRECT("'" &amp; B324 &amp; "'.$A$1:$Z$1000"), 0, MATCH("total_assembly_time_min", INDIRECT("'" &amp; B324 &amp; "'.$A$1:$Z$1"), 0)))/60, "")</f>
        <v/>
      </c>
      <c r="G324" s="33" t="str">
        <f aca="false">IF(C324&lt;&gt;"", values!$B$2, "")</f>
        <v/>
      </c>
      <c r="H324" s="33" t="str">
        <f aca="false">IF(C324&lt;&gt;"", F324*G324, "")</f>
        <v/>
      </c>
      <c r="I324" s="33" t="str">
        <f aca="false">IF(C324&lt;&gt;"", H324+E324, "")</f>
        <v/>
      </c>
      <c r="K324" s="33" t="str">
        <f aca="false">IF(C324&lt;&gt;"", L324-I324, "")</f>
        <v/>
      </c>
      <c r="L324" s="33" t="str">
        <f aca="false">IF(C324&lt;&gt;"", I324/(1-J324), "")</f>
        <v/>
      </c>
      <c r="M324" s="33" t="str">
        <f aca="false">IF(C324&lt;&gt;"", values!$A$2, "")</f>
        <v/>
      </c>
      <c r="N324" s="33" t="str">
        <f aca="false">IF(C324&lt;&gt;"", O324-L324, "")</f>
        <v/>
      </c>
      <c r="O324" s="33" t="str">
        <f aca="false">IF(C324&lt;&gt;"", L324/(1-M324), "")</f>
        <v/>
      </c>
    </row>
    <row r="325" customFormat="false" ht="12.8" hidden="false" customHeight="false" outlineLevel="0" collapsed="false">
      <c r="A325" s="1" t="s">
        <v>1604</v>
      </c>
      <c r="B325" s="31" t="s">
        <v>1605</v>
      </c>
      <c r="D325" s="32" t="str">
        <f aca="true">IF(C325&lt;&gt;"", SUM(INDEX(INDIRECT("'" &amp; B325 &amp; "'.$A$1:$Z$1000"), 0, MATCH("count", INDIRECT("'" &amp; B325 &amp; "'.$A$1:$Z$1"), 0))), "")</f>
        <v/>
      </c>
      <c r="E325" s="33" t="str">
        <f aca="true">IF(C325&lt;&gt;"", SUM(INDEX(INDIRECT("'" &amp; B325 &amp; "'.$A$1:$Z$1000"), 0, MATCH("cost", INDIRECT("'" &amp; B325 &amp; "'.$A$1:$Z$1"), 0))), "")</f>
        <v/>
      </c>
      <c r="F325" s="40" t="str">
        <f aca="true">IF(C325&lt;&gt;"", SUM(INDEX(INDIRECT("'" &amp; B325 &amp; "'.$A$1:$Z$1000"), 0, MATCH("total_assembly_time_min", INDIRECT("'" &amp; B325 &amp; "'.$A$1:$Z$1"), 0)))/60, "")</f>
        <v/>
      </c>
      <c r="G325" s="33" t="str">
        <f aca="false">IF(C325&lt;&gt;"", values!$B$2, "")</f>
        <v/>
      </c>
      <c r="H325" s="33" t="str">
        <f aca="false">IF(C325&lt;&gt;"", F325*G325, "")</f>
        <v/>
      </c>
      <c r="I325" s="33" t="str">
        <f aca="false">IF(C325&lt;&gt;"", H325+E325, "")</f>
        <v/>
      </c>
      <c r="K325" s="33" t="str">
        <f aca="false">IF(C325&lt;&gt;"", L325-I325, "")</f>
        <v/>
      </c>
      <c r="L325" s="33" t="str">
        <f aca="false">IF(C325&lt;&gt;"", I325/(1-J325), "")</f>
        <v/>
      </c>
      <c r="M325" s="33" t="str">
        <f aca="false">IF(C325&lt;&gt;"", values!$A$2, "")</f>
        <v/>
      </c>
      <c r="N325" s="33" t="str">
        <f aca="false">IF(C325&lt;&gt;"", O325-L325, "")</f>
        <v/>
      </c>
      <c r="O325" s="33" t="str">
        <f aca="false">IF(C325&lt;&gt;"", L325/(1-M325), "")</f>
        <v/>
      </c>
    </row>
    <row r="326" customFormat="false" ht="12.8" hidden="false" customHeight="false" outlineLevel="0" collapsed="false">
      <c r="A326" s="1" t="s">
        <v>1606</v>
      </c>
      <c r="B326" s="31" t="s">
        <v>1607</v>
      </c>
      <c r="D326" s="32" t="str">
        <f aca="true">IF(C326&lt;&gt;"", SUM(INDEX(INDIRECT("'" &amp; B326 &amp; "'.$A$1:$Z$1000"), 0, MATCH("count", INDIRECT("'" &amp; B326 &amp; "'.$A$1:$Z$1"), 0))), "")</f>
        <v/>
      </c>
      <c r="E326" s="33" t="str">
        <f aca="true">IF(C326&lt;&gt;"", SUM(INDEX(INDIRECT("'" &amp; B326 &amp; "'.$A$1:$Z$1000"), 0, MATCH("cost", INDIRECT("'" &amp; B326 &amp; "'.$A$1:$Z$1"), 0))), "")</f>
        <v/>
      </c>
      <c r="F326" s="40" t="str">
        <f aca="true">IF(C326&lt;&gt;"", SUM(INDEX(INDIRECT("'" &amp; B326 &amp; "'.$A$1:$Z$1000"), 0, MATCH("total_assembly_time_min", INDIRECT("'" &amp; B326 &amp; "'.$A$1:$Z$1"), 0)))/60, "")</f>
        <v/>
      </c>
      <c r="G326" s="33" t="str">
        <f aca="false">IF(C326&lt;&gt;"", values!$B$2, "")</f>
        <v/>
      </c>
      <c r="H326" s="33" t="str">
        <f aca="false">IF(C326&lt;&gt;"", F326*G326, "")</f>
        <v/>
      </c>
      <c r="I326" s="33" t="str">
        <f aca="false">IF(C326&lt;&gt;"", H326+E326, "")</f>
        <v/>
      </c>
      <c r="K326" s="33" t="str">
        <f aca="false">IF(C326&lt;&gt;"", L326-I326, "")</f>
        <v/>
      </c>
      <c r="L326" s="33" t="str">
        <f aca="false">IF(C326&lt;&gt;"", I326/(1-J326), "")</f>
        <v/>
      </c>
      <c r="M326" s="33" t="str">
        <f aca="false">IF(C326&lt;&gt;"", values!$A$2, "")</f>
        <v/>
      </c>
      <c r="N326" s="33" t="str">
        <f aca="false">IF(C326&lt;&gt;"", O326-L326, "")</f>
        <v/>
      </c>
      <c r="O326" s="33" t="str">
        <f aca="false">IF(C326&lt;&gt;"", L326/(1-M326), "")</f>
        <v/>
      </c>
    </row>
    <row r="327" customFormat="false" ht="12.8" hidden="false" customHeight="false" outlineLevel="0" collapsed="false">
      <c r="A327" s="1" t="s">
        <v>1608</v>
      </c>
      <c r="B327" s="31" t="s">
        <v>1609</v>
      </c>
      <c r="D327" s="32" t="str">
        <f aca="true">IF(C327&lt;&gt;"", SUM(INDEX(INDIRECT("'" &amp; B327 &amp; "'.$A$1:$Z$1000"), 0, MATCH("count", INDIRECT("'" &amp; B327 &amp; "'.$A$1:$Z$1"), 0))), "")</f>
        <v/>
      </c>
      <c r="E327" s="33" t="str">
        <f aca="true">IF(C327&lt;&gt;"", SUM(INDEX(INDIRECT("'" &amp; B327 &amp; "'.$A$1:$Z$1000"), 0, MATCH("cost", INDIRECT("'" &amp; B327 &amp; "'.$A$1:$Z$1"), 0))), "")</f>
        <v/>
      </c>
      <c r="F327" s="40" t="str">
        <f aca="true">IF(C327&lt;&gt;"", SUM(INDEX(INDIRECT("'" &amp; B327 &amp; "'.$A$1:$Z$1000"), 0, MATCH("total_assembly_time_min", INDIRECT("'" &amp; B327 &amp; "'.$A$1:$Z$1"), 0)))/60, "")</f>
        <v/>
      </c>
      <c r="G327" s="33" t="str">
        <f aca="false">IF(C327&lt;&gt;"", values!$B$2, "")</f>
        <v/>
      </c>
      <c r="H327" s="33" t="str">
        <f aca="false">IF(C327&lt;&gt;"", F327*G327, "")</f>
        <v/>
      </c>
      <c r="I327" s="33" t="str">
        <f aca="false">IF(C327&lt;&gt;"", H327+E327, "")</f>
        <v/>
      </c>
      <c r="K327" s="33" t="str">
        <f aca="false">IF(C327&lt;&gt;"", L327-I327, "")</f>
        <v/>
      </c>
      <c r="L327" s="33" t="str">
        <f aca="false">IF(C327&lt;&gt;"", I327/(1-J327), "")</f>
        <v/>
      </c>
      <c r="M327" s="33" t="str">
        <f aca="false">IF(C327&lt;&gt;"", values!$A$2, "")</f>
        <v/>
      </c>
      <c r="N327" s="33" t="str">
        <f aca="false">IF(C327&lt;&gt;"", O327-L327, "")</f>
        <v/>
      </c>
      <c r="O327" s="33" t="str">
        <f aca="false">IF(C327&lt;&gt;"", L327/(1-M327), "")</f>
        <v/>
      </c>
    </row>
    <row r="328" customFormat="false" ht="12.8" hidden="false" customHeight="false" outlineLevel="0" collapsed="false">
      <c r="A328" s="1" t="s">
        <v>1610</v>
      </c>
      <c r="B328" s="31" t="s">
        <v>1611</v>
      </c>
      <c r="D328" s="32" t="str">
        <f aca="true">IF(C328&lt;&gt;"", SUM(INDEX(INDIRECT("'" &amp; B328 &amp; "'.$A$1:$Z$1000"), 0, MATCH("count", INDIRECT("'" &amp; B328 &amp; "'.$A$1:$Z$1"), 0))), "")</f>
        <v/>
      </c>
      <c r="E328" s="33" t="str">
        <f aca="true">IF(C328&lt;&gt;"", SUM(INDEX(INDIRECT("'" &amp; B328 &amp; "'.$A$1:$Z$1000"), 0, MATCH("cost", INDIRECT("'" &amp; B328 &amp; "'.$A$1:$Z$1"), 0))), "")</f>
        <v/>
      </c>
      <c r="F328" s="40" t="str">
        <f aca="true">IF(C328&lt;&gt;"", SUM(INDEX(INDIRECT("'" &amp; B328 &amp; "'.$A$1:$Z$1000"), 0, MATCH("total_assembly_time_min", INDIRECT("'" &amp; B328 &amp; "'.$A$1:$Z$1"), 0)))/60, "")</f>
        <v/>
      </c>
      <c r="G328" s="33" t="str">
        <f aca="false">IF(C328&lt;&gt;"", values!$B$2, "")</f>
        <v/>
      </c>
      <c r="H328" s="33" t="str">
        <f aca="false">IF(C328&lt;&gt;"", F328*G328, "")</f>
        <v/>
      </c>
      <c r="I328" s="33" t="str">
        <f aca="false">IF(C328&lt;&gt;"", H328+E328, "")</f>
        <v/>
      </c>
      <c r="K328" s="33" t="str">
        <f aca="false">IF(C328&lt;&gt;"", L328-I328, "")</f>
        <v/>
      </c>
      <c r="L328" s="33" t="str">
        <f aca="false">IF(C328&lt;&gt;"", I328/(1-J328), "")</f>
        <v/>
      </c>
      <c r="M328" s="33" t="str">
        <f aca="false">IF(C328&lt;&gt;"", values!$A$2, "")</f>
        <v/>
      </c>
      <c r="N328" s="33" t="str">
        <f aca="false">IF(C328&lt;&gt;"", O328-L328, "")</f>
        <v/>
      </c>
      <c r="O328" s="33" t="str">
        <f aca="false">IF(C328&lt;&gt;"", L328/(1-M328), "")</f>
        <v/>
      </c>
    </row>
    <row r="329" customFormat="false" ht="12.8" hidden="false" customHeight="false" outlineLevel="0" collapsed="false">
      <c r="A329" s="1" t="s">
        <v>1612</v>
      </c>
      <c r="B329" s="31" t="s">
        <v>1613</v>
      </c>
      <c r="D329" s="32" t="str">
        <f aca="true">IF(C329&lt;&gt;"", SUM(INDEX(INDIRECT("'" &amp; B329 &amp; "'.$A$1:$Z$1000"), 0, MATCH("count", INDIRECT("'" &amp; B329 &amp; "'.$A$1:$Z$1"), 0))), "")</f>
        <v/>
      </c>
      <c r="E329" s="33" t="str">
        <f aca="true">IF(C329&lt;&gt;"", SUM(INDEX(INDIRECT("'" &amp; B329 &amp; "'.$A$1:$Z$1000"), 0, MATCH("cost", INDIRECT("'" &amp; B329 &amp; "'.$A$1:$Z$1"), 0))), "")</f>
        <v/>
      </c>
      <c r="F329" s="40" t="str">
        <f aca="true">IF(C329&lt;&gt;"", SUM(INDEX(INDIRECT("'" &amp; B329 &amp; "'.$A$1:$Z$1000"), 0, MATCH("total_assembly_time_min", INDIRECT("'" &amp; B329 &amp; "'.$A$1:$Z$1"), 0)))/60, "")</f>
        <v/>
      </c>
      <c r="G329" s="33" t="str">
        <f aca="false">IF(C329&lt;&gt;"", values!$B$2, "")</f>
        <v/>
      </c>
      <c r="H329" s="33" t="str">
        <f aca="false">IF(C329&lt;&gt;"", F329*G329, "")</f>
        <v/>
      </c>
      <c r="I329" s="33" t="str">
        <f aca="false">IF(C329&lt;&gt;"", H329+E329, "")</f>
        <v/>
      </c>
      <c r="K329" s="33" t="str">
        <f aca="false">IF(C329&lt;&gt;"", L329-I329, "")</f>
        <v/>
      </c>
      <c r="L329" s="33" t="str">
        <f aca="false">IF(C329&lt;&gt;"", I329/(1-J329), "")</f>
        <v/>
      </c>
      <c r="M329" s="33" t="str">
        <f aca="false">IF(C329&lt;&gt;"", values!$A$2, "")</f>
        <v/>
      </c>
      <c r="N329" s="33" t="str">
        <f aca="false">IF(C329&lt;&gt;"", O329-L329, "")</f>
        <v/>
      </c>
      <c r="O329" s="33" t="str">
        <f aca="false">IF(C329&lt;&gt;"", L329/(1-M329), "")</f>
        <v/>
      </c>
    </row>
    <row r="330" customFormat="false" ht="12.8" hidden="false" customHeight="false" outlineLevel="0" collapsed="false">
      <c r="A330" s="1" t="s">
        <v>1614</v>
      </c>
      <c r="B330" s="31" t="s">
        <v>1615</v>
      </c>
      <c r="D330" s="32" t="str">
        <f aca="true">IF(C330&lt;&gt;"", SUM(INDEX(INDIRECT("'" &amp; B330 &amp; "'.$A$1:$Z$1000"), 0, MATCH("count", INDIRECT("'" &amp; B330 &amp; "'.$A$1:$Z$1"), 0))), "")</f>
        <v/>
      </c>
      <c r="E330" s="33" t="str">
        <f aca="true">IF(C330&lt;&gt;"", SUM(INDEX(INDIRECT("'" &amp; B330 &amp; "'.$A$1:$Z$1000"), 0, MATCH("cost", INDIRECT("'" &amp; B330 &amp; "'.$A$1:$Z$1"), 0))), "")</f>
        <v/>
      </c>
      <c r="F330" s="40" t="str">
        <f aca="true">IF(C330&lt;&gt;"", SUM(INDEX(INDIRECT("'" &amp; B330 &amp; "'.$A$1:$Z$1000"), 0, MATCH("total_assembly_time_min", INDIRECT("'" &amp; B330 &amp; "'.$A$1:$Z$1"), 0)))/60, "")</f>
        <v/>
      </c>
      <c r="G330" s="33" t="str">
        <f aca="false">IF(C330&lt;&gt;"", values!$B$2, "")</f>
        <v/>
      </c>
      <c r="H330" s="33" t="str">
        <f aca="false">IF(C330&lt;&gt;"", F330*G330, "")</f>
        <v/>
      </c>
      <c r="I330" s="33" t="str">
        <f aca="false">IF(C330&lt;&gt;"", H330+E330, "")</f>
        <v/>
      </c>
      <c r="K330" s="33" t="str">
        <f aca="false">IF(C330&lt;&gt;"", L330-I330, "")</f>
        <v/>
      </c>
      <c r="L330" s="33" t="str">
        <f aca="false">IF(C330&lt;&gt;"", I330/(1-J330), "")</f>
        <v/>
      </c>
      <c r="M330" s="33" t="str">
        <f aca="false">IF(C330&lt;&gt;"", values!$A$2, "")</f>
        <v/>
      </c>
      <c r="N330" s="33" t="str">
        <f aca="false">IF(C330&lt;&gt;"", O330-L330, "")</f>
        <v/>
      </c>
      <c r="O330" s="33" t="str">
        <f aca="false">IF(C330&lt;&gt;"", L330/(1-M330), "")</f>
        <v/>
      </c>
    </row>
    <row r="331" customFormat="false" ht="12.8" hidden="false" customHeight="false" outlineLevel="0" collapsed="false">
      <c r="A331" s="1" t="s">
        <v>1616</v>
      </c>
      <c r="B331" s="31" t="s">
        <v>1617</v>
      </c>
      <c r="D331" s="32" t="str">
        <f aca="true">IF(C331&lt;&gt;"", SUM(INDEX(INDIRECT("'" &amp; B331 &amp; "'.$A$1:$Z$1000"), 0, MATCH("count", INDIRECT("'" &amp; B331 &amp; "'.$A$1:$Z$1"), 0))), "")</f>
        <v/>
      </c>
      <c r="E331" s="33" t="str">
        <f aca="true">IF(C331&lt;&gt;"", SUM(INDEX(INDIRECT("'" &amp; B331 &amp; "'.$A$1:$Z$1000"), 0, MATCH("cost", INDIRECT("'" &amp; B331 &amp; "'.$A$1:$Z$1"), 0))), "")</f>
        <v/>
      </c>
      <c r="F331" s="40" t="str">
        <f aca="true">IF(C331&lt;&gt;"", SUM(INDEX(INDIRECT("'" &amp; B331 &amp; "'.$A$1:$Z$1000"), 0, MATCH("total_assembly_time_min", INDIRECT("'" &amp; B331 &amp; "'.$A$1:$Z$1"), 0)))/60, "")</f>
        <v/>
      </c>
      <c r="G331" s="33" t="str">
        <f aca="false">IF(C331&lt;&gt;"", values!$B$2, "")</f>
        <v/>
      </c>
      <c r="H331" s="33" t="str">
        <f aca="false">IF(C331&lt;&gt;"", F331*G331, "")</f>
        <v/>
      </c>
      <c r="I331" s="33" t="str">
        <f aca="false">IF(C331&lt;&gt;"", H331+E331, "")</f>
        <v/>
      </c>
      <c r="K331" s="33" t="str">
        <f aca="false">IF(C331&lt;&gt;"", L331-I331, "")</f>
        <v/>
      </c>
      <c r="L331" s="33" t="str">
        <f aca="false">IF(C331&lt;&gt;"", I331/(1-J331), "")</f>
        <v/>
      </c>
      <c r="M331" s="33" t="str">
        <f aca="false">IF(C331&lt;&gt;"", values!$A$2, "")</f>
        <v/>
      </c>
      <c r="N331" s="33" t="str">
        <f aca="false">IF(C331&lt;&gt;"", O331-L331, "")</f>
        <v/>
      </c>
      <c r="O331" s="33" t="str">
        <f aca="false">IF(C331&lt;&gt;"", L331/(1-M331), "")</f>
        <v/>
      </c>
    </row>
    <row r="332" customFormat="false" ht="12.8" hidden="false" customHeight="false" outlineLevel="0" collapsed="false">
      <c r="A332" s="1" t="s">
        <v>1618</v>
      </c>
      <c r="B332" s="31" t="s">
        <v>1619</v>
      </c>
      <c r="D332" s="32" t="str">
        <f aca="true">IF(C332&lt;&gt;"", SUM(INDEX(INDIRECT("'" &amp; B332 &amp; "'.$A$1:$Z$1000"), 0, MATCH("count", INDIRECT("'" &amp; B332 &amp; "'.$A$1:$Z$1"), 0))), "")</f>
        <v/>
      </c>
      <c r="E332" s="33" t="str">
        <f aca="true">IF(C332&lt;&gt;"", SUM(INDEX(INDIRECT("'" &amp; B332 &amp; "'.$A$1:$Z$1000"), 0, MATCH("cost", INDIRECT("'" &amp; B332 &amp; "'.$A$1:$Z$1"), 0))), "")</f>
        <v/>
      </c>
      <c r="F332" s="40" t="str">
        <f aca="true">IF(C332&lt;&gt;"", SUM(INDEX(INDIRECT("'" &amp; B332 &amp; "'.$A$1:$Z$1000"), 0, MATCH("total_assembly_time_min", INDIRECT("'" &amp; B332 &amp; "'.$A$1:$Z$1"), 0)))/60, "")</f>
        <v/>
      </c>
      <c r="G332" s="33" t="str">
        <f aca="false">IF(C332&lt;&gt;"", values!$B$2, "")</f>
        <v/>
      </c>
      <c r="H332" s="33" t="str">
        <f aca="false">IF(C332&lt;&gt;"", F332*G332, "")</f>
        <v/>
      </c>
      <c r="I332" s="33" t="str">
        <f aca="false">IF(C332&lt;&gt;"", H332+E332, "")</f>
        <v/>
      </c>
      <c r="K332" s="33" t="str">
        <f aca="false">IF(C332&lt;&gt;"", L332-I332, "")</f>
        <v/>
      </c>
      <c r="L332" s="33" t="str">
        <f aca="false">IF(C332&lt;&gt;"", I332/(1-J332), "")</f>
        <v/>
      </c>
      <c r="M332" s="33" t="str">
        <f aca="false">IF(C332&lt;&gt;"", values!$A$2, "")</f>
        <v/>
      </c>
      <c r="N332" s="33" t="str">
        <f aca="false">IF(C332&lt;&gt;"", O332-L332, "")</f>
        <v/>
      </c>
      <c r="O332" s="33" t="str">
        <f aca="false">IF(C332&lt;&gt;"", L332/(1-M332), "")</f>
        <v/>
      </c>
    </row>
    <row r="333" customFormat="false" ht="12.8" hidden="false" customHeight="false" outlineLevel="0" collapsed="false">
      <c r="A333" s="1" t="s">
        <v>1620</v>
      </c>
      <c r="B333" s="31" t="s">
        <v>1621</v>
      </c>
      <c r="D333" s="32" t="str">
        <f aca="true">IF(C333&lt;&gt;"", SUM(INDEX(INDIRECT("'" &amp; B333 &amp; "'.$A$1:$Z$1000"), 0, MATCH("count", INDIRECT("'" &amp; B333 &amp; "'.$A$1:$Z$1"), 0))), "")</f>
        <v/>
      </c>
      <c r="E333" s="33" t="str">
        <f aca="true">IF(C333&lt;&gt;"", SUM(INDEX(INDIRECT("'" &amp; B333 &amp; "'.$A$1:$Z$1000"), 0, MATCH("cost", INDIRECT("'" &amp; B333 &amp; "'.$A$1:$Z$1"), 0))), "")</f>
        <v/>
      </c>
      <c r="F333" s="40" t="str">
        <f aca="true">IF(C333&lt;&gt;"", SUM(INDEX(INDIRECT("'" &amp; B333 &amp; "'.$A$1:$Z$1000"), 0, MATCH("total_assembly_time_min", INDIRECT("'" &amp; B333 &amp; "'.$A$1:$Z$1"), 0)))/60, "")</f>
        <v/>
      </c>
      <c r="G333" s="33" t="str">
        <f aca="false">IF(C333&lt;&gt;"", values!$B$2, "")</f>
        <v/>
      </c>
      <c r="H333" s="33" t="str">
        <f aca="false">IF(C333&lt;&gt;"", F333*G333, "")</f>
        <v/>
      </c>
      <c r="I333" s="33" t="str">
        <f aca="false">IF(C333&lt;&gt;"", H333+E333, "")</f>
        <v/>
      </c>
      <c r="K333" s="33" t="str">
        <f aca="false">IF(C333&lt;&gt;"", L333-I333, "")</f>
        <v/>
      </c>
      <c r="L333" s="33" t="str">
        <f aca="false">IF(C333&lt;&gt;"", I333/(1-J333), "")</f>
        <v/>
      </c>
      <c r="M333" s="33" t="str">
        <f aca="false">IF(C333&lt;&gt;"", values!$A$2, "")</f>
        <v/>
      </c>
      <c r="N333" s="33" t="str">
        <f aca="false">IF(C333&lt;&gt;"", O333-L333, "")</f>
        <v/>
      </c>
      <c r="O333" s="33" t="str">
        <f aca="false">IF(C333&lt;&gt;"", L333/(1-M333), "")</f>
        <v/>
      </c>
    </row>
    <row r="334" customFormat="false" ht="12.8" hidden="false" customHeight="false" outlineLevel="0" collapsed="false">
      <c r="A334" s="1" t="s">
        <v>1622</v>
      </c>
      <c r="B334" s="31" t="s">
        <v>1623</v>
      </c>
      <c r="D334" s="32" t="str">
        <f aca="true">IF(C334&lt;&gt;"", SUM(INDEX(INDIRECT("'" &amp; B334 &amp; "'.$A$1:$Z$1000"), 0, MATCH("count", INDIRECT("'" &amp; B334 &amp; "'.$A$1:$Z$1"), 0))), "")</f>
        <v/>
      </c>
      <c r="E334" s="33" t="str">
        <f aca="true">IF(C334&lt;&gt;"", SUM(INDEX(INDIRECT("'" &amp; B334 &amp; "'.$A$1:$Z$1000"), 0, MATCH("cost", INDIRECT("'" &amp; B334 &amp; "'.$A$1:$Z$1"), 0))), "")</f>
        <v/>
      </c>
      <c r="F334" s="40" t="str">
        <f aca="true">IF(C334&lt;&gt;"", SUM(INDEX(INDIRECT("'" &amp; B334 &amp; "'.$A$1:$Z$1000"), 0, MATCH("total_assembly_time_min", INDIRECT("'" &amp; B334 &amp; "'.$A$1:$Z$1"), 0)))/60, "")</f>
        <v/>
      </c>
      <c r="G334" s="33" t="str">
        <f aca="false">IF(C334&lt;&gt;"", values!$B$2, "")</f>
        <v/>
      </c>
      <c r="H334" s="33" t="str">
        <f aca="false">IF(C334&lt;&gt;"", F334*G334, "")</f>
        <v/>
      </c>
      <c r="I334" s="33" t="str">
        <f aca="false">IF(C334&lt;&gt;"", H334+E334, "")</f>
        <v/>
      </c>
      <c r="K334" s="33" t="str">
        <f aca="false">IF(C334&lt;&gt;"", L334-I334, "")</f>
        <v/>
      </c>
      <c r="L334" s="33" t="str">
        <f aca="false">IF(C334&lt;&gt;"", I334/(1-J334), "")</f>
        <v/>
      </c>
      <c r="M334" s="33" t="str">
        <f aca="false">IF(C334&lt;&gt;"", values!$A$2, "")</f>
        <v/>
      </c>
      <c r="N334" s="33" t="str">
        <f aca="false">IF(C334&lt;&gt;"", O334-L334, "")</f>
        <v/>
      </c>
      <c r="O334" s="33" t="str">
        <f aca="false">IF(C334&lt;&gt;"", L334/(1-M334), "")</f>
        <v/>
      </c>
    </row>
    <row r="335" customFormat="false" ht="12.8" hidden="false" customHeight="false" outlineLevel="0" collapsed="false">
      <c r="A335" s="1" t="s">
        <v>1624</v>
      </c>
      <c r="B335" s="31" t="s">
        <v>1625</v>
      </c>
      <c r="D335" s="32" t="str">
        <f aca="true">IF(C335&lt;&gt;"", SUM(INDEX(INDIRECT("'" &amp; B335 &amp; "'.$A$1:$Z$1000"), 0, MATCH("count", INDIRECT("'" &amp; B335 &amp; "'.$A$1:$Z$1"), 0))), "")</f>
        <v/>
      </c>
      <c r="E335" s="33" t="str">
        <f aca="true">IF(C335&lt;&gt;"", SUM(INDEX(INDIRECT("'" &amp; B335 &amp; "'.$A$1:$Z$1000"), 0, MATCH("cost", INDIRECT("'" &amp; B335 &amp; "'.$A$1:$Z$1"), 0))), "")</f>
        <v/>
      </c>
      <c r="F335" s="40" t="str">
        <f aca="true">IF(C335&lt;&gt;"", SUM(INDEX(INDIRECT("'" &amp; B335 &amp; "'.$A$1:$Z$1000"), 0, MATCH("total_assembly_time_min", INDIRECT("'" &amp; B335 &amp; "'.$A$1:$Z$1"), 0)))/60, "")</f>
        <v/>
      </c>
      <c r="G335" s="33" t="str">
        <f aca="false">IF(C335&lt;&gt;"", values!$B$2, "")</f>
        <v/>
      </c>
      <c r="H335" s="33" t="str">
        <f aca="false">IF(C335&lt;&gt;"", F335*G335, "")</f>
        <v/>
      </c>
      <c r="I335" s="33" t="str">
        <f aca="false">IF(C335&lt;&gt;"", H335+E335, "")</f>
        <v/>
      </c>
      <c r="K335" s="33" t="str">
        <f aca="false">IF(C335&lt;&gt;"", L335-I335, "")</f>
        <v/>
      </c>
      <c r="L335" s="33" t="str">
        <f aca="false">IF(C335&lt;&gt;"", I335/(1-J335), "")</f>
        <v/>
      </c>
      <c r="M335" s="33" t="str">
        <f aca="false">IF(C335&lt;&gt;"", values!$A$2, "")</f>
        <v/>
      </c>
      <c r="N335" s="33" t="str">
        <f aca="false">IF(C335&lt;&gt;"", O335-L335, "")</f>
        <v/>
      </c>
      <c r="O335" s="33" t="str">
        <f aca="false">IF(C335&lt;&gt;"", L335/(1-M335), "")</f>
        <v/>
      </c>
    </row>
    <row r="336" customFormat="false" ht="12.8" hidden="false" customHeight="false" outlineLevel="0" collapsed="false">
      <c r="A336" s="1" t="s">
        <v>1626</v>
      </c>
      <c r="B336" s="31" t="s">
        <v>1627</v>
      </c>
      <c r="D336" s="32" t="str">
        <f aca="true">IF(C336&lt;&gt;"", SUM(INDEX(INDIRECT("'" &amp; B336 &amp; "'.$A$1:$Z$1000"), 0, MATCH("count", INDIRECT("'" &amp; B336 &amp; "'.$A$1:$Z$1"), 0))), "")</f>
        <v/>
      </c>
      <c r="E336" s="33" t="str">
        <f aca="true">IF(C336&lt;&gt;"", SUM(INDEX(INDIRECT("'" &amp; B336 &amp; "'.$A$1:$Z$1000"), 0, MATCH("cost", INDIRECT("'" &amp; B336 &amp; "'.$A$1:$Z$1"), 0))), "")</f>
        <v/>
      </c>
      <c r="F336" s="40" t="str">
        <f aca="true">IF(C336&lt;&gt;"", SUM(INDEX(INDIRECT("'" &amp; B336 &amp; "'.$A$1:$Z$1000"), 0, MATCH("total_assembly_time_min", INDIRECT("'" &amp; B336 &amp; "'.$A$1:$Z$1"), 0)))/60, "")</f>
        <v/>
      </c>
      <c r="G336" s="33" t="str">
        <f aca="false">IF(C336&lt;&gt;"", values!$B$2, "")</f>
        <v/>
      </c>
      <c r="H336" s="33" t="str">
        <f aca="false">IF(C336&lt;&gt;"", F336*G336, "")</f>
        <v/>
      </c>
      <c r="I336" s="33" t="str">
        <f aca="false">IF(C336&lt;&gt;"", H336+E336, "")</f>
        <v/>
      </c>
      <c r="K336" s="33" t="str">
        <f aca="false">IF(C336&lt;&gt;"", L336-I336, "")</f>
        <v/>
      </c>
      <c r="L336" s="33" t="str">
        <f aca="false">IF(C336&lt;&gt;"", I336/(1-J336), "")</f>
        <v/>
      </c>
      <c r="M336" s="33" t="str">
        <f aca="false">IF(C336&lt;&gt;"", values!$A$2, "")</f>
        <v/>
      </c>
      <c r="N336" s="33" t="str">
        <f aca="false">IF(C336&lt;&gt;"", O336-L336, "")</f>
        <v/>
      </c>
      <c r="O336" s="33" t="str">
        <f aca="false">IF(C336&lt;&gt;"", L336/(1-M336), "")</f>
        <v/>
      </c>
    </row>
    <row r="337" customFormat="false" ht="12.8" hidden="false" customHeight="false" outlineLevel="0" collapsed="false">
      <c r="A337" s="1" t="s">
        <v>1628</v>
      </c>
      <c r="B337" s="31" t="s">
        <v>1629</v>
      </c>
      <c r="D337" s="32" t="str">
        <f aca="true">IF(C337&lt;&gt;"", SUM(INDEX(INDIRECT("'" &amp; B337 &amp; "'.$A$1:$Z$1000"), 0, MATCH("count", INDIRECT("'" &amp; B337 &amp; "'.$A$1:$Z$1"), 0))), "")</f>
        <v/>
      </c>
      <c r="E337" s="33" t="str">
        <f aca="true">IF(C337&lt;&gt;"", SUM(INDEX(INDIRECT("'" &amp; B337 &amp; "'.$A$1:$Z$1000"), 0, MATCH("cost", INDIRECT("'" &amp; B337 &amp; "'.$A$1:$Z$1"), 0))), "")</f>
        <v/>
      </c>
      <c r="F337" s="40" t="str">
        <f aca="true">IF(C337&lt;&gt;"", SUM(INDEX(INDIRECT("'" &amp; B337 &amp; "'.$A$1:$Z$1000"), 0, MATCH("total_assembly_time_min", INDIRECT("'" &amp; B337 &amp; "'.$A$1:$Z$1"), 0)))/60, "")</f>
        <v/>
      </c>
      <c r="G337" s="33" t="str">
        <f aca="false">IF(C337&lt;&gt;"", values!$B$2, "")</f>
        <v/>
      </c>
      <c r="H337" s="33" t="str">
        <f aca="false">IF(C337&lt;&gt;"", F337*G337, "")</f>
        <v/>
      </c>
      <c r="I337" s="33" t="str">
        <f aca="false">IF(C337&lt;&gt;"", H337+E337, "")</f>
        <v/>
      </c>
      <c r="K337" s="33" t="str">
        <f aca="false">IF(C337&lt;&gt;"", L337-I337, "")</f>
        <v/>
      </c>
      <c r="L337" s="33" t="str">
        <f aca="false">IF(C337&lt;&gt;"", I337/(1-J337), "")</f>
        <v/>
      </c>
      <c r="M337" s="33" t="str">
        <f aca="false">IF(C337&lt;&gt;"", values!$A$2, "")</f>
        <v/>
      </c>
      <c r="N337" s="33" t="str">
        <f aca="false">IF(C337&lt;&gt;"", O337-L337, "")</f>
        <v/>
      </c>
      <c r="O337" s="33" t="str">
        <f aca="false">IF(C337&lt;&gt;"", L337/(1-M337), "")</f>
        <v/>
      </c>
    </row>
    <row r="338" customFormat="false" ht="12.8" hidden="false" customHeight="false" outlineLevel="0" collapsed="false">
      <c r="A338" s="1" t="s">
        <v>1630</v>
      </c>
      <c r="B338" s="31" t="s">
        <v>1631</v>
      </c>
      <c r="D338" s="32" t="str">
        <f aca="true">IF(C338&lt;&gt;"", SUM(INDEX(INDIRECT("'" &amp; B338 &amp; "'.$A$1:$Z$1000"), 0, MATCH("count", INDIRECT("'" &amp; B338 &amp; "'.$A$1:$Z$1"), 0))), "")</f>
        <v/>
      </c>
      <c r="E338" s="33" t="str">
        <f aca="true">IF(C338&lt;&gt;"", SUM(INDEX(INDIRECT("'" &amp; B338 &amp; "'.$A$1:$Z$1000"), 0, MATCH("cost", INDIRECT("'" &amp; B338 &amp; "'.$A$1:$Z$1"), 0))), "")</f>
        <v/>
      </c>
      <c r="F338" s="40" t="str">
        <f aca="true">IF(C338&lt;&gt;"", SUM(INDEX(INDIRECT("'" &amp; B338 &amp; "'.$A$1:$Z$1000"), 0, MATCH("total_assembly_time_min", INDIRECT("'" &amp; B338 &amp; "'.$A$1:$Z$1"), 0)))/60, "")</f>
        <v/>
      </c>
      <c r="G338" s="33" t="str">
        <f aca="false">IF(C338&lt;&gt;"", values!$B$2, "")</f>
        <v/>
      </c>
      <c r="H338" s="33" t="str">
        <f aca="false">IF(C338&lt;&gt;"", F338*G338, "")</f>
        <v/>
      </c>
      <c r="I338" s="33" t="str">
        <f aca="false">IF(C338&lt;&gt;"", H338+E338, "")</f>
        <v/>
      </c>
      <c r="K338" s="33" t="str">
        <f aca="false">IF(C338&lt;&gt;"", L338-I338, "")</f>
        <v/>
      </c>
      <c r="L338" s="33" t="str">
        <f aca="false">IF(C338&lt;&gt;"", I338/(1-J338), "")</f>
        <v/>
      </c>
      <c r="M338" s="33" t="str">
        <f aca="false">IF(C338&lt;&gt;"", values!$A$2, "")</f>
        <v/>
      </c>
      <c r="N338" s="33" t="str">
        <f aca="false">IF(C338&lt;&gt;"", O338-L338, "")</f>
        <v/>
      </c>
      <c r="O338" s="33" t="str">
        <f aca="false">IF(C338&lt;&gt;"", L338/(1-M338), "")</f>
        <v/>
      </c>
    </row>
    <row r="339" customFormat="false" ht="12.8" hidden="false" customHeight="false" outlineLevel="0" collapsed="false">
      <c r="A339" s="1" t="s">
        <v>1632</v>
      </c>
      <c r="B339" s="31" t="s">
        <v>1633</v>
      </c>
      <c r="D339" s="32" t="str">
        <f aca="true">IF(C339&lt;&gt;"", SUM(INDEX(INDIRECT("'" &amp; B339 &amp; "'.$A$1:$Z$1000"), 0, MATCH("count", INDIRECT("'" &amp; B339 &amp; "'.$A$1:$Z$1"), 0))), "")</f>
        <v/>
      </c>
      <c r="E339" s="33" t="str">
        <f aca="true">IF(C339&lt;&gt;"", SUM(INDEX(INDIRECT("'" &amp; B339 &amp; "'.$A$1:$Z$1000"), 0, MATCH("cost", INDIRECT("'" &amp; B339 &amp; "'.$A$1:$Z$1"), 0))), "")</f>
        <v/>
      </c>
      <c r="F339" s="40" t="str">
        <f aca="true">IF(C339&lt;&gt;"", SUM(INDEX(INDIRECT("'" &amp; B339 &amp; "'.$A$1:$Z$1000"), 0, MATCH("total_assembly_time_min", INDIRECT("'" &amp; B339 &amp; "'.$A$1:$Z$1"), 0)))/60, "")</f>
        <v/>
      </c>
      <c r="G339" s="33" t="str">
        <f aca="false">IF(C339&lt;&gt;"", values!$B$2, "")</f>
        <v/>
      </c>
      <c r="H339" s="33" t="str">
        <f aca="false">IF(C339&lt;&gt;"", F339*G339, "")</f>
        <v/>
      </c>
      <c r="I339" s="33" t="str">
        <f aca="false">IF(C339&lt;&gt;"", H339+E339, "")</f>
        <v/>
      </c>
      <c r="K339" s="33" t="str">
        <f aca="false">IF(C339&lt;&gt;"", L339-I339, "")</f>
        <v/>
      </c>
      <c r="L339" s="33" t="str">
        <f aca="false">IF(C339&lt;&gt;"", I339/(1-J339), "")</f>
        <v/>
      </c>
      <c r="M339" s="33" t="str">
        <f aca="false">IF(C339&lt;&gt;"", values!$A$2, "")</f>
        <v/>
      </c>
      <c r="N339" s="33" t="str">
        <f aca="false">IF(C339&lt;&gt;"", O339-L339, "")</f>
        <v/>
      </c>
      <c r="O339" s="33" t="str">
        <f aca="false">IF(C339&lt;&gt;"", L339/(1-M339), "")</f>
        <v/>
      </c>
    </row>
    <row r="340" customFormat="false" ht="12.8" hidden="false" customHeight="false" outlineLevel="0" collapsed="false">
      <c r="A340" s="1" t="s">
        <v>1634</v>
      </c>
      <c r="B340" s="31" t="s">
        <v>1635</v>
      </c>
      <c r="D340" s="32" t="str">
        <f aca="true">IF(C340&lt;&gt;"", SUM(INDEX(INDIRECT("'" &amp; B340 &amp; "'.$A$1:$Z$1000"), 0, MATCH("count", INDIRECT("'" &amp; B340 &amp; "'.$A$1:$Z$1"), 0))), "")</f>
        <v/>
      </c>
      <c r="E340" s="33" t="str">
        <f aca="true">IF(C340&lt;&gt;"", SUM(INDEX(INDIRECT("'" &amp; B340 &amp; "'.$A$1:$Z$1000"), 0, MATCH("cost", INDIRECT("'" &amp; B340 &amp; "'.$A$1:$Z$1"), 0))), "")</f>
        <v/>
      </c>
      <c r="F340" s="40" t="str">
        <f aca="true">IF(C340&lt;&gt;"", SUM(INDEX(INDIRECT("'" &amp; B340 &amp; "'.$A$1:$Z$1000"), 0, MATCH("total_assembly_time_min", INDIRECT("'" &amp; B340 &amp; "'.$A$1:$Z$1"), 0)))/60, "")</f>
        <v/>
      </c>
      <c r="G340" s="33" t="str">
        <f aca="false">IF(C340&lt;&gt;"", values!$B$2, "")</f>
        <v/>
      </c>
      <c r="H340" s="33" t="str">
        <f aca="false">IF(C340&lt;&gt;"", F340*G340, "")</f>
        <v/>
      </c>
      <c r="I340" s="33" t="str">
        <f aca="false">IF(C340&lt;&gt;"", H340+E340, "")</f>
        <v/>
      </c>
      <c r="K340" s="33" t="str">
        <f aca="false">IF(C340&lt;&gt;"", L340-I340, "")</f>
        <v/>
      </c>
      <c r="L340" s="33" t="str">
        <f aca="false">IF(C340&lt;&gt;"", I340/(1-J340), "")</f>
        <v/>
      </c>
      <c r="M340" s="33" t="str">
        <f aca="false">IF(C340&lt;&gt;"", values!$A$2, "")</f>
        <v/>
      </c>
      <c r="N340" s="33" t="str">
        <f aca="false">IF(C340&lt;&gt;"", O340-L340, "")</f>
        <v/>
      </c>
      <c r="O340" s="33" t="str">
        <f aca="false">IF(C340&lt;&gt;"", L340/(1-M340), "")</f>
        <v/>
      </c>
    </row>
    <row r="341" customFormat="false" ht="12.8" hidden="false" customHeight="false" outlineLevel="0" collapsed="false">
      <c r="A341" s="1" t="s">
        <v>1636</v>
      </c>
      <c r="B341" s="31" t="s">
        <v>1637</v>
      </c>
      <c r="D341" s="32" t="str">
        <f aca="true">IF(C341&lt;&gt;"", SUM(INDEX(INDIRECT("'" &amp; B341 &amp; "'.$A$1:$Z$1000"), 0, MATCH("count", INDIRECT("'" &amp; B341 &amp; "'.$A$1:$Z$1"), 0))), "")</f>
        <v/>
      </c>
      <c r="E341" s="33" t="str">
        <f aca="true">IF(C341&lt;&gt;"", SUM(INDEX(INDIRECT("'" &amp; B341 &amp; "'.$A$1:$Z$1000"), 0, MATCH("cost", INDIRECT("'" &amp; B341 &amp; "'.$A$1:$Z$1"), 0))), "")</f>
        <v/>
      </c>
      <c r="F341" s="40" t="str">
        <f aca="true">IF(C341&lt;&gt;"", SUM(INDEX(INDIRECT("'" &amp; B341 &amp; "'.$A$1:$Z$1000"), 0, MATCH("total_assembly_time_min", INDIRECT("'" &amp; B341 &amp; "'.$A$1:$Z$1"), 0)))/60, "")</f>
        <v/>
      </c>
      <c r="G341" s="33" t="str">
        <f aca="false">IF(C341&lt;&gt;"", values!$B$2, "")</f>
        <v/>
      </c>
      <c r="H341" s="33" t="str">
        <f aca="false">IF(C341&lt;&gt;"", F341*G341, "")</f>
        <v/>
      </c>
      <c r="I341" s="33" t="str">
        <f aca="false">IF(C341&lt;&gt;"", H341+E341, "")</f>
        <v/>
      </c>
      <c r="K341" s="33" t="str">
        <f aca="false">IF(C341&lt;&gt;"", L341-I341, "")</f>
        <v/>
      </c>
      <c r="L341" s="33" t="str">
        <f aca="false">IF(C341&lt;&gt;"", I341/(1-J341), "")</f>
        <v/>
      </c>
      <c r="M341" s="33" t="str">
        <f aca="false">IF(C341&lt;&gt;"", values!$A$2, "")</f>
        <v/>
      </c>
      <c r="N341" s="33" t="str">
        <f aca="false">IF(C341&lt;&gt;"", O341-L341, "")</f>
        <v/>
      </c>
      <c r="O341" s="33" t="str">
        <f aca="false">IF(C341&lt;&gt;"", L341/(1-M341), "")</f>
        <v/>
      </c>
    </row>
    <row r="342" customFormat="false" ht="12.8" hidden="false" customHeight="false" outlineLevel="0" collapsed="false">
      <c r="A342" s="1" t="s">
        <v>1638</v>
      </c>
      <c r="B342" s="31" t="s">
        <v>1639</v>
      </c>
      <c r="D342" s="32" t="str">
        <f aca="true">IF(C342&lt;&gt;"", SUM(INDEX(INDIRECT("'" &amp; B342 &amp; "'.$A$1:$Z$1000"), 0, MATCH("count", INDIRECT("'" &amp; B342 &amp; "'.$A$1:$Z$1"), 0))), "")</f>
        <v/>
      </c>
      <c r="E342" s="33" t="str">
        <f aca="true">IF(C342&lt;&gt;"", SUM(INDEX(INDIRECT("'" &amp; B342 &amp; "'.$A$1:$Z$1000"), 0, MATCH("cost", INDIRECT("'" &amp; B342 &amp; "'.$A$1:$Z$1"), 0))), "")</f>
        <v/>
      </c>
      <c r="F342" s="40" t="str">
        <f aca="true">IF(C342&lt;&gt;"", SUM(INDEX(INDIRECT("'" &amp; B342 &amp; "'.$A$1:$Z$1000"), 0, MATCH("total_assembly_time_min", INDIRECT("'" &amp; B342 &amp; "'.$A$1:$Z$1"), 0)))/60, "")</f>
        <v/>
      </c>
      <c r="G342" s="33" t="str">
        <f aca="false">IF(C342&lt;&gt;"", values!$B$2, "")</f>
        <v/>
      </c>
      <c r="H342" s="33" t="str">
        <f aca="false">IF(C342&lt;&gt;"", F342*G342, "")</f>
        <v/>
      </c>
      <c r="I342" s="33" t="str">
        <f aca="false">IF(C342&lt;&gt;"", H342+E342, "")</f>
        <v/>
      </c>
      <c r="K342" s="33" t="str">
        <f aca="false">IF(C342&lt;&gt;"", L342-I342, "")</f>
        <v/>
      </c>
      <c r="L342" s="33" t="str">
        <f aca="false">IF(C342&lt;&gt;"", I342/(1-J342), "")</f>
        <v/>
      </c>
      <c r="M342" s="33" t="str">
        <f aca="false">IF(C342&lt;&gt;"", values!$A$2, "")</f>
        <v/>
      </c>
      <c r="N342" s="33" t="str">
        <f aca="false">IF(C342&lt;&gt;"", O342-L342, "")</f>
        <v/>
      </c>
      <c r="O342" s="33" t="str">
        <f aca="false">IF(C342&lt;&gt;"", L342/(1-M342), "")</f>
        <v/>
      </c>
    </row>
    <row r="343" customFormat="false" ht="12.8" hidden="false" customHeight="false" outlineLevel="0" collapsed="false">
      <c r="A343" s="1" t="s">
        <v>1640</v>
      </c>
      <c r="B343" s="31" t="s">
        <v>1641</v>
      </c>
      <c r="D343" s="32" t="str">
        <f aca="true">IF(C343&lt;&gt;"", SUM(INDEX(INDIRECT("'" &amp; B343 &amp; "'.$A$1:$Z$1000"), 0, MATCH("count", INDIRECT("'" &amp; B343 &amp; "'.$A$1:$Z$1"), 0))), "")</f>
        <v/>
      </c>
      <c r="E343" s="33" t="str">
        <f aca="true">IF(C343&lt;&gt;"", SUM(INDEX(INDIRECT("'" &amp; B343 &amp; "'.$A$1:$Z$1000"), 0, MATCH("cost", INDIRECT("'" &amp; B343 &amp; "'.$A$1:$Z$1"), 0))), "")</f>
        <v/>
      </c>
      <c r="F343" s="40" t="str">
        <f aca="true">IF(C343&lt;&gt;"", SUM(INDEX(INDIRECT("'" &amp; B343 &amp; "'.$A$1:$Z$1000"), 0, MATCH("total_assembly_time_min", INDIRECT("'" &amp; B343 &amp; "'.$A$1:$Z$1"), 0)))/60, "")</f>
        <v/>
      </c>
      <c r="G343" s="33" t="str">
        <f aca="false">IF(C343&lt;&gt;"", values!$B$2, "")</f>
        <v/>
      </c>
      <c r="H343" s="33" t="str">
        <f aca="false">IF(C343&lt;&gt;"", F343*G343, "")</f>
        <v/>
      </c>
      <c r="I343" s="33" t="str">
        <f aca="false">IF(C343&lt;&gt;"", H343+E343, "")</f>
        <v/>
      </c>
      <c r="K343" s="33" t="str">
        <f aca="false">IF(C343&lt;&gt;"", L343-I343, "")</f>
        <v/>
      </c>
      <c r="L343" s="33" t="str">
        <f aca="false">IF(C343&lt;&gt;"", I343/(1-J343), "")</f>
        <v/>
      </c>
      <c r="M343" s="33" t="str">
        <f aca="false">IF(C343&lt;&gt;"", values!$A$2, "")</f>
        <v/>
      </c>
      <c r="N343" s="33" t="str">
        <f aca="false">IF(C343&lt;&gt;"", O343-L343, "")</f>
        <v/>
      </c>
      <c r="O343" s="33" t="str">
        <f aca="false">IF(C343&lt;&gt;"", L343/(1-M343), "")</f>
        <v/>
      </c>
    </row>
    <row r="344" customFormat="false" ht="12.8" hidden="false" customHeight="false" outlineLevel="0" collapsed="false">
      <c r="A344" s="1" t="s">
        <v>1642</v>
      </c>
      <c r="B344" s="31" t="s">
        <v>1643</v>
      </c>
      <c r="D344" s="32" t="str">
        <f aca="true">IF(C344&lt;&gt;"", SUM(INDEX(INDIRECT("'" &amp; B344 &amp; "'.$A$1:$Z$1000"), 0, MATCH("count", INDIRECT("'" &amp; B344 &amp; "'.$A$1:$Z$1"), 0))), "")</f>
        <v/>
      </c>
      <c r="E344" s="33" t="str">
        <f aca="true">IF(C344&lt;&gt;"", SUM(INDEX(INDIRECT("'" &amp; B344 &amp; "'.$A$1:$Z$1000"), 0, MATCH("cost", INDIRECT("'" &amp; B344 &amp; "'.$A$1:$Z$1"), 0))), "")</f>
        <v/>
      </c>
      <c r="F344" s="40" t="str">
        <f aca="true">IF(C344&lt;&gt;"", SUM(INDEX(INDIRECT("'" &amp; B344 &amp; "'.$A$1:$Z$1000"), 0, MATCH("total_assembly_time_min", INDIRECT("'" &amp; B344 &amp; "'.$A$1:$Z$1"), 0)))/60, "")</f>
        <v/>
      </c>
      <c r="G344" s="33" t="str">
        <f aca="false">IF(C344&lt;&gt;"", values!$B$2, "")</f>
        <v/>
      </c>
      <c r="H344" s="33" t="str">
        <f aca="false">IF(C344&lt;&gt;"", F344*G344, "")</f>
        <v/>
      </c>
      <c r="I344" s="33" t="str">
        <f aca="false">IF(C344&lt;&gt;"", H344+E344, "")</f>
        <v/>
      </c>
      <c r="K344" s="33" t="str">
        <f aca="false">IF(C344&lt;&gt;"", L344-I344, "")</f>
        <v/>
      </c>
      <c r="L344" s="33" t="str">
        <f aca="false">IF(C344&lt;&gt;"", I344/(1-J344), "")</f>
        <v/>
      </c>
      <c r="M344" s="33" t="str">
        <f aca="false">IF(C344&lt;&gt;"", values!$A$2, "")</f>
        <v/>
      </c>
      <c r="N344" s="33" t="str">
        <f aca="false">IF(C344&lt;&gt;"", O344-L344, "")</f>
        <v/>
      </c>
      <c r="O344" s="33" t="str">
        <f aca="false">IF(C344&lt;&gt;"", L344/(1-M344), "")</f>
        <v/>
      </c>
    </row>
    <row r="345" customFormat="false" ht="12.8" hidden="false" customHeight="false" outlineLevel="0" collapsed="false">
      <c r="A345" s="1" t="s">
        <v>1644</v>
      </c>
      <c r="B345" s="31" t="s">
        <v>1645</v>
      </c>
      <c r="D345" s="32" t="str">
        <f aca="true">IF(C345&lt;&gt;"", SUM(INDEX(INDIRECT("'" &amp; B345 &amp; "'.$A$1:$Z$1000"), 0, MATCH("count", INDIRECT("'" &amp; B345 &amp; "'.$A$1:$Z$1"), 0))), "")</f>
        <v/>
      </c>
      <c r="E345" s="33" t="str">
        <f aca="true">IF(C345&lt;&gt;"", SUM(INDEX(INDIRECT("'" &amp; B345 &amp; "'.$A$1:$Z$1000"), 0, MATCH("cost", INDIRECT("'" &amp; B345 &amp; "'.$A$1:$Z$1"), 0))), "")</f>
        <v/>
      </c>
      <c r="F345" s="40" t="str">
        <f aca="true">IF(C345&lt;&gt;"", SUM(INDEX(INDIRECT("'" &amp; B345 &amp; "'.$A$1:$Z$1000"), 0, MATCH("total_assembly_time_min", INDIRECT("'" &amp; B345 &amp; "'.$A$1:$Z$1"), 0)))/60, "")</f>
        <v/>
      </c>
      <c r="G345" s="33" t="str">
        <f aca="false">IF(C345&lt;&gt;"", values!$B$2, "")</f>
        <v/>
      </c>
      <c r="H345" s="33" t="str">
        <f aca="false">IF(C345&lt;&gt;"", F345*G345, "")</f>
        <v/>
      </c>
      <c r="I345" s="33" t="str">
        <f aca="false">IF(C345&lt;&gt;"", H345+E345, "")</f>
        <v/>
      </c>
      <c r="K345" s="33" t="str">
        <f aca="false">IF(C345&lt;&gt;"", L345-I345, "")</f>
        <v/>
      </c>
      <c r="L345" s="33" t="str">
        <f aca="false">IF(C345&lt;&gt;"", I345/(1-J345), "")</f>
        <v/>
      </c>
      <c r="M345" s="33" t="str">
        <f aca="false">IF(C345&lt;&gt;"", values!$A$2, "")</f>
        <v/>
      </c>
      <c r="N345" s="33" t="str">
        <f aca="false">IF(C345&lt;&gt;"", O345-L345, "")</f>
        <v/>
      </c>
      <c r="O345" s="33" t="str">
        <f aca="false">IF(C345&lt;&gt;"", L345/(1-M345), "")</f>
        <v/>
      </c>
    </row>
    <row r="346" customFormat="false" ht="12.8" hidden="false" customHeight="false" outlineLevel="0" collapsed="false">
      <c r="A346" s="1" t="s">
        <v>1646</v>
      </c>
      <c r="B346" s="31" t="s">
        <v>1647</v>
      </c>
      <c r="D346" s="32" t="str">
        <f aca="true">IF(C346&lt;&gt;"", SUM(INDEX(INDIRECT("'" &amp; B346 &amp; "'.$A$1:$Z$1000"), 0, MATCH("count", INDIRECT("'" &amp; B346 &amp; "'.$A$1:$Z$1"), 0))), "")</f>
        <v/>
      </c>
      <c r="E346" s="33" t="str">
        <f aca="true">IF(C346&lt;&gt;"", SUM(INDEX(INDIRECT("'" &amp; B346 &amp; "'.$A$1:$Z$1000"), 0, MATCH("cost", INDIRECT("'" &amp; B346 &amp; "'.$A$1:$Z$1"), 0))), "")</f>
        <v/>
      </c>
      <c r="F346" s="40" t="str">
        <f aca="true">IF(C346&lt;&gt;"", SUM(INDEX(INDIRECT("'" &amp; B346 &amp; "'.$A$1:$Z$1000"), 0, MATCH("total_assembly_time_min", INDIRECT("'" &amp; B346 &amp; "'.$A$1:$Z$1"), 0)))/60, "")</f>
        <v/>
      </c>
      <c r="G346" s="33" t="str">
        <f aca="false">IF(C346&lt;&gt;"", values!$B$2, "")</f>
        <v/>
      </c>
      <c r="H346" s="33" t="str">
        <f aca="false">IF(C346&lt;&gt;"", F346*G346, "")</f>
        <v/>
      </c>
      <c r="I346" s="33" t="str">
        <f aca="false">IF(C346&lt;&gt;"", H346+E346, "")</f>
        <v/>
      </c>
      <c r="K346" s="33" t="str">
        <f aca="false">IF(C346&lt;&gt;"", L346-I346, "")</f>
        <v/>
      </c>
      <c r="L346" s="33" t="str">
        <f aca="false">IF(C346&lt;&gt;"", I346/(1-J346), "")</f>
        <v/>
      </c>
      <c r="M346" s="33" t="str">
        <f aca="false">IF(C346&lt;&gt;"", values!$A$2, "")</f>
        <v/>
      </c>
      <c r="N346" s="33" t="str">
        <f aca="false">IF(C346&lt;&gt;"", O346-L346, "")</f>
        <v/>
      </c>
      <c r="O346" s="33" t="str">
        <f aca="false">IF(C346&lt;&gt;"", L346/(1-M346), "")</f>
        <v/>
      </c>
    </row>
    <row r="347" customFormat="false" ht="12.8" hidden="false" customHeight="false" outlineLevel="0" collapsed="false">
      <c r="A347" s="1" t="s">
        <v>1648</v>
      </c>
      <c r="B347" s="31" t="s">
        <v>1649</v>
      </c>
      <c r="D347" s="32" t="str">
        <f aca="true">IF(C347&lt;&gt;"", SUM(INDEX(INDIRECT("'" &amp; B347 &amp; "'.$A$1:$Z$1000"), 0, MATCH("count", INDIRECT("'" &amp; B347 &amp; "'.$A$1:$Z$1"), 0))), "")</f>
        <v/>
      </c>
      <c r="E347" s="33" t="str">
        <f aca="true">IF(C347&lt;&gt;"", SUM(INDEX(INDIRECT("'" &amp; B347 &amp; "'.$A$1:$Z$1000"), 0, MATCH("cost", INDIRECT("'" &amp; B347 &amp; "'.$A$1:$Z$1"), 0))), "")</f>
        <v/>
      </c>
      <c r="F347" s="40" t="str">
        <f aca="true">IF(C347&lt;&gt;"", SUM(INDEX(INDIRECT("'" &amp; B347 &amp; "'.$A$1:$Z$1000"), 0, MATCH("total_assembly_time_min", INDIRECT("'" &amp; B347 &amp; "'.$A$1:$Z$1"), 0)))/60, "")</f>
        <v/>
      </c>
      <c r="G347" s="33" t="str">
        <f aca="false">IF(C347&lt;&gt;"", values!$B$2, "")</f>
        <v/>
      </c>
      <c r="H347" s="33" t="str">
        <f aca="false">IF(C347&lt;&gt;"", F347*G347, "")</f>
        <v/>
      </c>
      <c r="I347" s="33" t="str">
        <f aca="false">IF(C347&lt;&gt;"", H347+E347, "")</f>
        <v/>
      </c>
      <c r="K347" s="33" t="str">
        <f aca="false">IF(C347&lt;&gt;"", L347-I347, "")</f>
        <v/>
      </c>
      <c r="L347" s="33" t="str">
        <f aca="false">IF(C347&lt;&gt;"", I347/(1-J347), "")</f>
        <v/>
      </c>
      <c r="M347" s="33" t="str">
        <f aca="false">IF(C347&lt;&gt;"", values!$A$2, "")</f>
        <v/>
      </c>
      <c r="N347" s="33" t="str">
        <f aca="false">IF(C347&lt;&gt;"", O347-L347, "")</f>
        <v/>
      </c>
      <c r="O347" s="33" t="str">
        <f aca="false">IF(C347&lt;&gt;"", L347/(1-M347), "")</f>
        <v/>
      </c>
    </row>
    <row r="348" customFormat="false" ht="12.8" hidden="false" customHeight="false" outlineLevel="0" collapsed="false">
      <c r="A348" s="1" t="s">
        <v>1650</v>
      </c>
      <c r="B348" s="31" t="s">
        <v>1651</v>
      </c>
      <c r="D348" s="32" t="str">
        <f aca="true">IF(C348&lt;&gt;"", SUM(INDEX(INDIRECT("'" &amp; B348 &amp; "'.$A$1:$Z$1000"), 0, MATCH("count", INDIRECT("'" &amp; B348 &amp; "'.$A$1:$Z$1"), 0))), "")</f>
        <v/>
      </c>
      <c r="E348" s="33" t="str">
        <f aca="true">IF(C348&lt;&gt;"", SUM(INDEX(INDIRECT("'" &amp; B348 &amp; "'.$A$1:$Z$1000"), 0, MATCH("cost", INDIRECT("'" &amp; B348 &amp; "'.$A$1:$Z$1"), 0))), "")</f>
        <v/>
      </c>
      <c r="F348" s="40" t="str">
        <f aca="true">IF(C348&lt;&gt;"", SUM(INDEX(INDIRECT("'" &amp; B348 &amp; "'.$A$1:$Z$1000"), 0, MATCH("total_assembly_time_min", INDIRECT("'" &amp; B348 &amp; "'.$A$1:$Z$1"), 0)))/60, "")</f>
        <v/>
      </c>
      <c r="G348" s="33" t="str">
        <f aca="false">IF(C348&lt;&gt;"", values!$B$2, "")</f>
        <v/>
      </c>
      <c r="H348" s="33" t="str">
        <f aca="false">IF(C348&lt;&gt;"", F348*G348, "")</f>
        <v/>
      </c>
      <c r="I348" s="33" t="str">
        <f aca="false">IF(C348&lt;&gt;"", H348+E348, "")</f>
        <v/>
      </c>
      <c r="K348" s="33" t="str">
        <f aca="false">IF(C348&lt;&gt;"", L348-I348, "")</f>
        <v/>
      </c>
      <c r="L348" s="33" t="str">
        <f aca="false">IF(C348&lt;&gt;"", I348/(1-J348), "")</f>
        <v/>
      </c>
      <c r="M348" s="33" t="str">
        <f aca="false">IF(C348&lt;&gt;"", values!$A$2, "")</f>
        <v/>
      </c>
      <c r="N348" s="33" t="str">
        <f aca="false">IF(C348&lt;&gt;"", O348-L348, "")</f>
        <v/>
      </c>
      <c r="O348" s="33" t="str">
        <f aca="false">IF(C348&lt;&gt;"", L348/(1-M348), "")</f>
        <v/>
      </c>
    </row>
    <row r="349" customFormat="false" ht="12.8" hidden="false" customHeight="false" outlineLevel="0" collapsed="false">
      <c r="A349" s="1" t="s">
        <v>1652</v>
      </c>
      <c r="B349" s="31" t="s">
        <v>1653</v>
      </c>
      <c r="D349" s="32" t="str">
        <f aca="true">IF(C349&lt;&gt;"", SUM(INDEX(INDIRECT("'" &amp; B349 &amp; "'.$A$1:$Z$1000"), 0, MATCH("count", INDIRECT("'" &amp; B349 &amp; "'.$A$1:$Z$1"), 0))), "")</f>
        <v/>
      </c>
      <c r="E349" s="33" t="str">
        <f aca="true">IF(C349&lt;&gt;"", SUM(INDEX(INDIRECT("'" &amp; B349 &amp; "'.$A$1:$Z$1000"), 0, MATCH("cost", INDIRECT("'" &amp; B349 &amp; "'.$A$1:$Z$1"), 0))), "")</f>
        <v/>
      </c>
      <c r="F349" s="40" t="str">
        <f aca="true">IF(C349&lt;&gt;"", SUM(INDEX(INDIRECT("'" &amp; B349 &amp; "'.$A$1:$Z$1000"), 0, MATCH("total_assembly_time_min", INDIRECT("'" &amp; B349 &amp; "'.$A$1:$Z$1"), 0)))/60, "")</f>
        <v/>
      </c>
      <c r="G349" s="33" t="str">
        <f aca="false">IF(C349&lt;&gt;"", values!$B$2, "")</f>
        <v/>
      </c>
      <c r="H349" s="33" t="str">
        <f aca="false">IF(C349&lt;&gt;"", F349*G349, "")</f>
        <v/>
      </c>
      <c r="I349" s="33" t="str">
        <f aca="false">IF(C349&lt;&gt;"", H349+E349, "")</f>
        <v/>
      </c>
      <c r="K349" s="33" t="str">
        <f aca="false">IF(C349&lt;&gt;"", L349-I349, "")</f>
        <v/>
      </c>
      <c r="L349" s="33" t="str">
        <f aca="false">IF(C349&lt;&gt;"", I349/(1-J349), "")</f>
        <v/>
      </c>
      <c r="M349" s="33" t="str">
        <f aca="false">IF(C349&lt;&gt;"", values!$A$2, "")</f>
        <v/>
      </c>
      <c r="N349" s="33" t="str">
        <f aca="false">IF(C349&lt;&gt;"", O349-L349, "")</f>
        <v/>
      </c>
      <c r="O349" s="33" t="str">
        <f aca="false">IF(C349&lt;&gt;"", L349/(1-M349), "")</f>
        <v/>
      </c>
    </row>
    <row r="350" customFormat="false" ht="12.8" hidden="false" customHeight="false" outlineLevel="0" collapsed="false">
      <c r="A350" s="1" t="s">
        <v>1654</v>
      </c>
      <c r="B350" s="31" t="s">
        <v>1655</v>
      </c>
      <c r="D350" s="32" t="str">
        <f aca="true">IF(C350&lt;&gt;"", SUM(INDEX(INDIRECT("'" &amp; B350 &amp; "'.$A$1:$Z$1000"), 0, MATCH("count", INDIRECT("'" &amp; B350 &amp; "'.$A$1:$Z$1"), 0))), "")</f>
        <v/>
      </c>
      <c r="E350" s="33" t="str">
        <f aca="true">IF(C350&lt;&gt;"", SUM(INDEX(INDIRECT("'" &amp; B350 &amp; "'.$A$1:$Z$1000"), 0, MATCH("cost", INDIRECT("'" &amp; B350 &amp; "'.$A$1:$Z$1"), 0))), "")</f>
        <v/>
      </c>
      <c r="F350" s="40" t="str">
        <f aca="true">IF(C350&lt;&gt;"", SUM(INDEX(INDIRECT("'" &amp; B350 &amp; "'.$A$1:$Z$1000"), 0, MATCH("total_assembly_time_min", INDIRECT("'" &amp; B350 &amp; "'.$A$1:$Z$1"), 0)))/60, "")</f>
        <v/>
      </c>
      <c r="G350" s="33" t="str">
        <f aca="false">IF(C350&lt;&gt;"", values!$B$2, "")</f>
        <v/>
      </c>
      <c r="H350" s="33" t="str">
        <f aca="false">IF(C350&lt;&gt;"", F350*G350, "")</f>
        <v/>
      </c>
      <c r="I350" s="33" t="str">
        <f aca="false">IF(C350&lt;&gt;"", H350+E350, "")</f>
        <v/>
      </c>
      <c r="K350" s="33" t="str">
        <f aca="false">IF(C350&lt;&gt;"", L350-I350, "")</f>
        <v/>
      </c>
      <c r="L350" s="33" t="str">
        <f aca="false">IF(C350&lt;&gt;"", I350/(1-J350), "")</f>
        <v/>
      </c>
      <c r="M350" s="33" t="str">
        <f aca="false">IF(C350&lt;&gt;"", values!$A$2, "")</f>
        <v/>
      </c>
      <c r="N350" s="33" t="str">
        <f aca="false">IF(C350&lt;&gt;"", O350-L350, "")</f>
        <v/>
      </c>
      <c r="O350" s="33" t="str">
        <f aca="false">IF(C350&lt;&gt;"", L350/(1-M350), "")</f>
        <v/>
      </c>
    </row>
    <row r="351" customFormat="false" ht="12.8" hidden="false" customHeight="false" outlineLevel="0" collapsed="false">
      <c r="A351" s="1" t="s">
        <v>1656</v>
      </c>
      <c r="B351" s="31" t="s">
        <v>1657</v>
      </c>
      <c r="D351" s="32" t="str">
        <f aca="true">IF(C351&lt;&gt;"", SUM(INDEX(INDIRECT("'" &amp; B351 &amp; "'.$A$1:$Z$1000"), 0, MATCH("count", INDIRECT("'" &amp; B351 &amp; "'.$A$1:$Z$1"), 0))), "")</f>
        <v/>
      </c>
      <c r="E351" s="33" t="str">
        <f aca="true">IF(C351&lt;&gt;"", SUM(INDEX(INDIRECT("'" &amp; B351 &amp; "'.$A$1:$Z$1000"), 0, MATCH("cost", INDIRECT("'" &amp; B351 &amp; "'.$A$1:$Z$1"), 0))), "")</f>
        <v/>
      </c>
      <c r="F351" s="40" t="str">
        <f aca="true">IF(C351&lt;&gt;"", SUM(INDEX(INDIRECT("'" &amp; B351 &amp; "'.$A$1:$Z$1000"), 0, MATCH("total_assembly_time_min", INDIRECT("'" &amp; B351 &amp; "'.$A$1:$Z$1"), 0)))/60, "")</f>
        <v/>
      </c>
      <c r="G351" s="33" t="str">
        <f aca="false">IF(C351&lt;&gt;"", values!$B$2, "")</f>
        <v/>
      </c>
      <c r="H351" s="33" t="str">
        <f aca="false">IF(C351&lt;&gt;"", F351*G351, "")</f>
        <v/>
      </c>
      <c r="I351" s="33" t="str">
        <f aca="false">IF(C351&lt;&gt;"", H351+E351, "")</f>
        <v/>
      </c>
      <c r="K351" s="33" t="str">
        <f aca="false">IF(C351&lt;&gt;"", L351-I351, "")</f>
        <v/>
      </c>
      <c r="L351" s="33" t="str">
        <f aca="false">IF(C351&lt;&gt;"", I351/(1-J351), "")</f>
        <v/>
      </c>
      <c r="M351" s="33" t="str">
        <f aca="false">IF(C351&lt;&gt;"", values!$A$2, "")</f>
        <v/>
      </c>
      <c r="N351" s="33" t="str">
        <f aca="false">IF(C351&lt;&gt;"", O351-L351, "")</f>
        <v/>
      </c>
      <c r="O351" s="33" t="str">
        <f aca="false">IF(C351&lt;&gt;"", L351/(1-M351), "")</f>
        <v/>
      </c>
    </row>
    <row r="352" customFormat="false" ht="12.8" hidden="false" customHeight="false" outlineLevel="0" collapsed="false">
      <c r="A352" s="1" t="s">
        <v>1658</v>
      </c>
      <c r="B352" s="31" t="s">
        <v>1659</v>
      </c>
      <c r="D352" s="32" t="str">
        <f aca="true">IF(C352&lt;&gt;"", SUM(INDEX(INDIRECT("'" &amp; B352 &amp; "'.$A$1:$Z$1000"), 0, MATCH("count", INDIRECT("'" &amp; B352 &amp; "'.$A$1:$Z$1"), 0))), "")</f>
        <v/>
      </c>
      <c r="E352" s="33" t="str">
        <f aca="true">IF(C352&lt;&gt;"", SUM(INDEX(INDIRECT("'" &amp; B352 &amp; "'.$A$1:$Z$1000"), 0, MATCH("cost", INDIRECT("'" &amp; B352 &amp; "'.$A$1:$Z$1"), 0))), "")</f>
        <v/>
      </c>
      <c r="F352" s="40" t="str">
        <f aca="true">IF(C352&lt;&gt;"", SUM(INDEX(INDIRECT("'" &amp; B352 &amp; "'.$A$1:$Z$1000"), 0, MATCH("total_assembly_time_min", INDIRECT("'" &amp; B352 &amp; "'.$A$1:$Z$1"), 0)))/60, "")</f>
        <v/>
      </c>
      <c r="G352" s="33" t="str">
        <f aca="false">IF(C352&lt;&gt;"", values!$B$2, "")</f>
        <v/>
      </c>
      <c r="H352" s="33" t="str">
        <f aca="false">IF(C352&lt;&gt;"", F352*G352, "")</f>
        <v/>
      </c>
      <c r="I352" s="33" t="str">
        <f aca="false">IF(C352&lt;&gt;"", H352+E352, "")</f>
        <v/>
      </c>
      <c r="K352" s="33" t="str">
        <f aca="false">IF(C352&lt;&gt;"", L352-I352, "")</f>
        <v/>
      </c>
      <c r="L352" s="33" t="str">
        <f aca="false">IF(C352&lt;&gt;"", I352/(1-J352), "")</f>
        <v/>
      </c>
      <c r="M352" s="33" t="str">
        <f aca="false">IF(C352&lt;&gt;"", values!$A$2, "")</f>
        <v/>
      </c>
      <c r="N352" s="33" t="str">
        <f aca="false">IF(C352&lt;&gt;"", O352-L352, "")</f>
        <v/>
      </c>
      <c r="O352" s="33" t="str">
        <f aca="false">IF(C352&lt;&gt;"", L352/(1-M352), "")</f>
        <v/>
      </c>
    </row>
    <row r="353" customFormat="false" ht="12.8" hidden="false" customHeight="false" outlineLevel="0" collapsed="false">
      <c r="A353" s="1" t="s">
        <v>1660</v>
      </c>
      <c r="B353" s="31" t="s">
        <v>1661</v>
      </c>
      <c r="D353" s="32" t="str">
        <f aca="true">IF(C353&lt;&gt;"", SUM(INDEX(INDIRECT("'" &amp; B353 &amp; "'.$A$1:$Z$1000"), 0, MATCH("count", INDIRECT("'" &amp; B353 &amp; "'.$A$1:$Z$1"), 0))), "")</f>
        <v/>
      </c>
      <c r="E353" s="33" t="str">
        <f aca="true">IF(C353&lt;&gt;"", SUM(INDEX(INDIRECT("'" &amp; B353 &amp; "'.$A$1:$Z$1000"), 0, MATCH("cost", INDIRECT("'" &amp; B353 &amp; "'.$A$1:$Z$1"), 0))), "")</f>
        <v/>
      </c>
      <c r="F353" s="40" t="str">
        <f aca="true">IF(C353&lt;&gt;"", SUM(INDEX(INDIRECT("'" &amp; B353 &amp; "'.$A$1:$Z$1000"), 0, MATCH("total_assembly_time_min", INDIRECT("'" &amp; B353 &amp; "'.$A$1:$Z$1"), 0)))/60, "")</f>
        <v/>
      </c>
      <c r="G353" s="33" t="str">
        <f aca="false">IF(C353&lt;&gt;"", values!$B$2, "")</f>
        <v/>
      </c>
      <c r="H353" s="33" t="str">
        <f aca="false">IF(C353&lt;&gt;"", F353*G353, "")</f>
        <v/>
      </c>
      <c r="I353" s="33" t="str">
        <f aca="false">IF(C353&lt;&gt;"", H353+E353, "")</f>
        <v/>
      </c>
      <c r="K353" s="33" t="str">
        <f aca="false">IF(C353&lt;&gt;"", L353-I353, "")</f>
        <v/>
      </c>
      <c r="L353" s="33" t="str">
        <f aca="false">IF(C353&lt;&gt;"", I353/(1-J353), "")</f>
        <v/>
      </c>
      <c r="M353" s="33" t="str">
        <f aca="false">IF(C353&lt;&gt;"", values!$A$2, "")</f>
        <v/>
      </c>
      <c r="N353" s="33" t="str">
        <f aca="false">IF(C353&lt;&gt;"", O353-L353, "")</f>
        <v/>
      </c>
      <c r="O353" s="33" t="str">
        <f aca="false">IF(C353&lt;&gt;"", L353/(1-M353), "")</f>
        <v/>
      </c>
    </row>
    <row r="354" customFormat="false" ht="12.8" hidden="false" customHeight="false" outlineLevel="0" collapsed="false">
      <c r="A354" s="1" t="s">
        <v>1662</v>
      </c>
      <c r="B354" s="31" t="s">
        <v>1663</v>
      </c>
      <c r="D354" s="32" t="str">
        <f aca="true">IF(C354&lt;&gt;"", SUM(INDEX(INDIRECT("'" &amp; B354 &amp; "'.$A$1:$Z$1000"), 0, MATCH("count", INDIRECT("'" &amp; B354 &amp; "'.$A$1:$Z$1"), 0))), "")</f>
        <v/>
      </c>
      <c r="E354" s="33" t="str">
        <f aca="true">IF(C354&lt;&gt;"", SUM(INDEX(INDIRECT("'" &amp; B354 &amp; "'.$A$1:$Z$1000"), 0, MATCH("cost", INDIRECT("'" &amp; B354 &amp; "'.$A$1:$Z$1"), 0))), "")</f>
        <v/>
      </c>
      <c r="F354" s="40" t="str">
        <f aca="true">IF(C354&lt;&gt;"", SUM(INDEX(INDIRECT("'" &amp; B354 &amp; "'.$A$1:$Z$1000"), 0, MATCH("total_assembly_time_min", INDIRECT("'" &amp; B354 &amp; "'.$A$1:$Z$1"), 0)))/60, "")</f>
        <v/>
      </c>
      <c r="G354" s="33" t="str">
        <f aca="false">IF(C354&lt;&gt;"", values!$B$2, "")</f>
        <v/>
      </c>
      <c r="H354" s="33" t="str">
        <f aca="false">IF(C354&lt;&gt;"", F354*G354, "")</f>
        <v/>
      </c>
      <c r="I354" s="33" t="str">
        <f aca="false">IF(C354&lt;&gt;"", H354+E354, "")</f>
        <v/>
      </c>
      <c r="K354" s="33" t="str">
        <f aca="false">IF(C354&lt;&gt;"", L354-I354, "")</f>
        <v/>
      </c>
      <c r="L354" s="33" t="str">
        <f aca="false">IF(C354&lt;&gt;"", I354/(1-J354), "")</f>
        <v/>
      </c>
      <c r="M354" s="33" t="str">
        <f aca="false">IF(C354&lt;&gt;"", values!$A$2, "")</f>
        <v/>
      </c>
      <c r="N354" s="33" t="str">
        <f aca="false">IF(C354&lt;&gt;"", O354-L354, "")</f>
        <v/>
      </c>
      <c r="O354" s="33" t="str">
        <f aca="false">IF(C354&lt;&gt;"", L354/(1-M354), "")</f>
        <v/>
      </c>
    </row>
    <row r="355" customFormat="false" ht="12.8" hidden="false" customHeight="false" outlineLevel="0" collapsed="false">
      <c r="A355" s="1" t="s">
        <v>1664</v>
      </c>
      <c r="B355" s="31" t="s">
        <v>1665</v>
      </c>
      <c r="D355" s="32" t="str">
        <f aca="true">IF(C355&lt;&gt;"", SUM(INDEX(INDIRECT("'" &amp; B355 &amp; "'.$A$1:$Z$1000"), 0, MATCH("count", INDIRECT("'" &amp; B355 &amp; "'.$A$1:$Z$1"), 0))), "")</f>
        <v/>
      </c>
      <c r="E355" s="33" t="str">
        <f aca="true">IF(C355&lt;&gt;"", SUM(INDEX(INDIRECT("'" &amp; B355 &amp; "'.$A$1:$Z$1000"), 0, MATCH("cost", INDIRECT("'" &amp; B355 &amp; "'.$A$1:$Z$1"), 0))), "")</f>
        <v/>
      </c>
      <c r="F355" s="40" t="str">
        <f aca="true">IF(C355&lt;&gt;"", SUM(INDEX(INDIRECT("'" &amp; B355 &amp; "'.$A$1:$Z$1000"), 0, MATCH("total_assembly_time_min", INDIRECT("'" &amp; B355 &amp; "'.$A$1:$Z$1"), 0)))/60, "")</f>
        <v/>
      </c>
      <c r="G355" s="33" t="str">
        <f aca="false">IF(C355&lt;&gt;"", values!$B$2, "")</f>
        <v/>
      </c>
      <c r="H355" s="33" t="str">
        <f aca="false">IF(C355&lt;&gt;"", F355*G355, "")</f>
        <v/>
      </c>
      <c r="I355" s="33" t="str">
        <f aca="false">IF(C355&lt;&gt;"", H355+E355, "")</f>
        <v/>
      </c>
      <c r="K355" s="33" t="str">
        <f aca="false">IF(C355&lt;&gt;"", L355-I355, "")</f>
        <v/>
      </c>
      <c r="L355" s="33" t="str">
        <f aca="false">IF(C355&lt;&gt;"", I355/(1-J355), "")</f>
        <v/>
      </c>
      <c r="M355" s="33" t="str">
        <f aca="false">IF(C355&lt;&gt;"", values!$A$2, "")</f>
        <v/>
      </c>
      <c r="N355" s="33" t="str">
        <f aca="false">IF(C355&lt;&gt;"", O355-L355, "")</f>
        <v/>
      </c>
      <c r="O355" s="33" t="str">
        <f aca="false">IF(C355&lt;&gt;"", L355/(1-M355), "")</f>
        <v/>
      </c>
    </row>
    <row r="356" customFormat="false" ht="12.8" hidden="false" customHeight="false" outlineLevel="0" collapsed="false">
      <c r="A356" s="1" t="s">
        <v>1666</v>
      </c>
      <c r="B356" s="31" t="s">
        <v>1667</v>
      </c>
      <c r="D356" s="32" t="str">
        <f aca="true">IF(C356&lt;&gt;"", SUM(INDEX(INDIRECT("'" &amp; B356 &amp; "'.$A$1:$Z$1000"), 0, MATCH("count", INDIRECT("'" &amp; B356 &amp; "'.$A$1:$Z$1"), 0))), "")</f>
        <v/>
      </c>
      <c r="E356" s="33" t="str">
        <f aca="true">IF(C356&lt;&gt;"", SUM(INDEX(INDIRECT("'" &amp; B356 &amp; "'.$A$1:$Z$1000"), 0, MATCH("cost", INDIRECT("'" &amp; B356 &amp; "'.$A$1:$Z$1"), 0))), "")</f>
        <v/>
      </c>
      <c r="F356" s="40" t="str">
        <f aca="true">IF(C356&lt;&gt;"", SUM(INDEX(INDIRECT("'" &amp; B356 &amp; "'.$A$1:$Z$1000"), 0, MATCH("total_assembly_time_min", INDIRECT("'" &amp; B356 &amp; "'.$A$1:$Z$1"), 0)))/60, "")</f>
        <v/>
      </c>
      <c r="G356" s="33" t="str">
        <f aca="false">IF(C356&lt;&gt;"", values!$B$2, "")</f>
        <v/>
      </c>
      <c r="H356" s="33" t="str">
        <f aca="false">IF(C356&lt;&gt;"", F356*G356, "")</f>
        <v/>
      </c>
      <c r="I356" s="33" t="str">
        <f aca="false">IF(C356&lt;&gt;"", H356+E356, "")</f>
        <v/>
      </c>
      <c r="K356" s="33" t="str">
        <f aca="false">IF(C356&lt;&gt;"", L356-I356, "")</f>
        <v/>
      </c>
      <c r="L356" s="33" t="str">
        <f aca="false">IF(C356&lt;&gt;"", I356/(1-J356), "")</f>
        <v/>
      </c>
      <c r="M356" s="33" t="str">
        <f aca="false">IF(C356&lt;&gt;"", values!$A$2, "")</f>
        <v/>
      </c>
      <c r="N356" s="33" t="str">
        <f aca="false">IF(C356&lt;&gt;"", O356-L356, "")</f>
        <v/>
      </c>
      <c r="O356" s="33" t="str">
        <f aca="false">IF(C356&lt;&gt;"", L356/(1-M356), "")</f>
        <v/>
      </c>
    </row>
    <row r="357" customFormat="false" ht="12.8" hidden="false" customHeight="false" outlineLevel="0" collapsed="false">
      <c r="A357" s="1" t="s">
        <v>1668</v>
      </c>
      <c r="B357" s="31" t="s">
        <v>1669</v>
      </c>
      <c r="D357" s="32" t="str">
        <f aca="true">IF(C357&lt;&gt;"", SUM(INDEX(INDIRECT("'" &amp; B357 &amp; "'.$A$1:$Z$1000"), 0, MATCH("count", INDIRECT("'" &amp; B357 &amp; "'.$A$1:$Z$1"), 0))), "")</f>
        <v/>
      </c>
      <c r="E357" s="33" t="str">
        <f aca="true">IF(C357&lt;&gt;"", SUM(INDEX(INDIRECT("'" &amp; B357 &amp; "'.$A$1:$Z$1000"), 0, MATCH("cost", INDIRECT("'" &amp; B357 &amp; "'.$A$1:$Z$1"), 0))), "")</f>
        <v/>
      </c>
      <c r="F357" s="40" t="str">
        <f aca="true">IF(C357&lt;&gt;"", SUM(INDEX(INDIRECT("'" &amp; B357 &amp; "'.$A$1:$Z$1000"), 0, MATCH("total_assembly_time_min", INDIRECT("'" &amp; B357 &amp; "'.$A$1:$Z$1"), 0)))/60, "")</f>
        <v/>
      </c>
      <c r="G357" s="33" t="str">
        <f aca="false">IF(C357&lt;&gt;"", values!$B$2, "")</f>
        <v/>
      </c>
      <c r="H357" s="33" t="str">
        <f aca="false">IF(C357&lt;&gt;"", F357*G357, "")</f>
        <v/>
      </c>
      <c r="I357" s="33" t="str">
        <f aca="false">IF(C357&lt;&gt;"", H357+E357, "")</f>
        <v/>
      </c>
      <c r="K357" s="33" t="str">
        <f aca="false">IF(C357&lt;&gt;"", L357-I357, "")</f>
        <v/>
      </c>
      <c r="L357" s="33" t="str">
        <f aca="false">IF(C357&lt;&gt;"", I357/(1-J357), "")</f>
        <v/>
      </c>
      <c r="M357" s="33" t="str">
        <f aca="false">IF(C357&lt;&gt;"", values!$A$2, "")</f>
        <v/>
      </c>
      <c r="N357" s="33" t="str">
        <f aca="false">IF(C357&lt;&gt;"", O357-L357, "")</f>
        <v/>
      </c>
      <c r="O357" s="33" t="str">
        <f aca="false">IF(C357&lt;&gt;"", L357/(1-M357), "")</f>
        <v/>
      </c>
    </row>
    <row r="358" customFormat="false" ht="12.8" hidden="false" customHeight="false" outlineLevel="0" collapsed="false">
      <c r="A358" s="1" t="s">
        <v>1670</v>
      </c>
      <c r="B358" s="31" t="s">
        <v>1671</v>
      </c>
      <c r="D358" s="32" t="str">
        <f aca="true">IF(C358&lt;&gt;"", SUM(INDEX(INDIRECT("'" &amp; B358 &amp; "'.$A$1:$Z$1000"), 0, MATCH("count", INDIRECT("'" &amp; B358 &amp; "'.$A$1:$Z$1"), 0))), "")</f>
        <v/>
      </c>
      <c r="E358" s="33" t="str">
        <f aca="true">IF(C358&lt;&gt;"", SUM(INDEX(INDIRECT("'" &amp; B358 &amp; "'.$A$1:$Z$1000"), 0, MATCH("cost", INDIRECT("'" &amp; B358 &amp; "'.$A$1:$Z$1"), 0))), "")</f>
        <v/>
      </c>
      <c r="F358" s="40" t="str">
        <f aca="true">IF(C358&lt;&gt;"", SUM(INDEX(INDIRECT("'" &amp; B358 &amp; "'.$A$1:$Z$1000"), 0, MATCH("total_assembly_time_min", INDIRECT("'" &amp; B358 &amp; "'.$A$1:$Z$1"), 0)))/60, "")</f>
        <v/>
      </c>
      <c r="G358" s="33" t="str">
        <f aca="false">IF(C358&lt;&gt;"", values!$B$2, "")</f>
        <v/>
      </c>
      <c r="H358" s="33" t="str">
        <f aca="false">IF(C358&lt;&gt;"", F358*G358, "")</f>
        <v/>
      </c>
      <c r="I358" s="33" t="str">
        <f aca="false">IF(C358&lt;&gt;"", H358+E358, "")</f>
        <v/>
      </c>
      <c r="K358" s="33" t="str">
        <f aca="false">IF(C358&lt;&gt;"", L358-I358, "")</f>
        <v/>
      </c>
      <c r="L358" s="33" t="str">
        <f aca="false">IF(C358&lt;&gt;"", I358/(1-J358), "")</f>
        <v/>
      </c>
      <c r="M358" s="33" t="str">
        <f aca="false">IF(C358&lt;&gt;"", values!$A$2, "")</f>
        <v/>
      </c>
      <c r="N358" s="33" t="str">
        <f aca="false">IF(C358&lt;&gt;"", O358-L358, "")</f>
        <v/>
      </c>
      <c r="O358" s="33" t="str">
        <f aca="false">IF(C358&lt;&gt;"", L358/(1-M358), "")</f>
        <v/>
      </c>
    </row>
    <row r="359" customFormat="false" ht="12.8" hidden="false" customHeight="false" outlineLevel="0" collapsed="false">
      <c r="A359" s="1" t="s">
        <v>1672</v>
      </c>
      <c r="B359" s="31" t="s">
        <v>1673</v>
      </c>
      <c r="D359" s="32" t="str">
        <f aca="true">IF(C359&lt;&gt;"", SUM(INDEX(INDIRECT("'" &amp; B359 &amp; "'.$A$1:$Z$1000"), 0, MATCH("count", INDIRECT("'" &amp; B359 &amp; "'.$A$1:$Z$1"), 0))), "")</f>
        <v/>
      </c>
      <c r="E359" s="33" t="str">
        <f aca="true">IF(C359&lt;&gt;"", SUM(INDEX(INDIRECT("'" &amp; B359 &amp; "'.$A$1:$Z$1000"), 0, MATCH("cost", INDIRECT("'" &amp; B359 &amp; "'.$A$1:$Z$1"), 0))), "")</f>
        <v/>
      </c>
      <c r="F359" s="40" t="str">
        <f aca="true">IF(C359&lt;&gt;"", SUM(INDEX(INDIRECT("'" &amp; B359 &amp; "'.$A$1:$Z$1000"), 0, MATCH("total_assembly_time_min", INDIRECT("'" &amp; B359 &amp; "'.$A$1:$Z$1"), 0)))/60, "")</f>
        <v/>
      </c>
      <c r="G359" s="33" t="str">
        <f aca="false">IF(C359&lt;&gt;"", values!$B$2, "")</f>
        <v/>
      </c>
      <c r="H359" s="33" t="str">
        <f aca="false">IF(C359&lt;&gt;"", F359*G359, "")</f>
        <v/>
      </c>
      <c r="I359" s="33" t="str">
        <f aca="false">IF(C359&lt;&gt;"", H359+E359, "")</f>
        <v/>
      </c>
      <c r="K359" s="33" t="str">
        <f aca="false">IF(C359&lt;&gt;"", L359-I359, "")</f>
        <v/>
      </c>
      <c r="L359" s="33" t="str">
        <f aca="false">IF(C359&lt;&gt;"", I359/(1-J359), "")</f>
        <v/>
      </c>
      <c r="M359" s="33" t="str">
        <f aca="false">IF(C359&lt;&gt;"", values!$A$2, "")</f>
        <v/>
      </c>
      <c r="N359" s="33" t="str">
        <f aca="false">IF(C359&lt;&gt;"", O359-L359, "")</f>
        <v/>
      </c>
      <c r="O359" s="33" t="str">
        <f aca="false">IF(C359&lt;&gt;"", L359/(1-M359), "")</f>
        <v/>
      </c>
    </row>
    <row r="360" customFormat="false" ht="12.8" hidden="false" customHeight="false" outlineLevel="0" collapsed="false">
      <c r="A360" s="1" t="s">
        <v>1674</v>
      </c>
      <c r="B360" s="31" t="s">
        <v>1675</v>
      </c>
      <c r="D360" s="32" t="str">
        <f aca="true">IF(C360&lt;&gt;"", SUM(INDEX(INDIRECT("'" &amp; B360 &amp; "'.$A$1:$Z$1000"), 0, MATCH("count", INDIRECT("'" &amp; B360 &amp; "'.$A$1:$Z$1"), 0))), "")</f>
        <v/>
      </c>
      <c r="E360" s="33" t="str">
        <f aca="true">IF(C360&lt;&gt;"", SUM(INDEX(INDIRECT("'" &amp; B360 &amp; "'.$A$1:$Z$1000"), 0, MATCH("cost", INDIRECT("'" &amp; B360 &amp; "'.$A$1:$Z$1"), 0))), "")</f>
        <v/>
      </c>
      <c r="F360" s="40" t="str">
        <f aca="true">IF(C360&lt;&gt;"", SUM(INDEX(INDIRECT("'" &amp; B360 &amp; "'.$A$1:$Z$1000"), 0, MATCH("total_assembly_time_min", INDIRECT("'" &amp; B360 &amp; "'.$A$1:$Z$1"), 0)))/60, "")</f>
        <v/>
      </c>
      <c r="G360" s="33" t="str">
        <f aca="false">IF(C360&lt;&gt;"", values!$B$2, "")</f>
        <v/>
      </c>
      <c r="H360" s="33" t="str">
        <f aca="false">IF(C360&lt;&gt;"", F360*G360, "")</f>
        <v/>
      </c>
      <c r="I360" s="33" t="str">
        <f aca="false">IF(C360&lt;&gt;"", H360+E360, "")</f>
        <v/>
      </c>
      <c r="K360" s="33" t="str">
        <f aca="false">IF(C360&lt;&gt;"", L360-I360, "")</f>
        <v/>
      </c>
      <c r="L360" s="33" t="str">
        <f aca="false">IF(C360&lt;&gt;"", I360/(1-J360), "")</f>
        <v/>
      </c>
      <c r="M360" s="33" t="str">
        <f aca="false">IF(C360&lt;&gt;"", values!$A$2, "")</f>
        <v/>
      </c>
      <c r="N360" s="33" t="str">
        <f aca="false">IF(C360&lt;&gt;"", O360-L360, "")</f>
        <v/>
      </c>
      <c r="O360" s="33" t="str">
        <f aca="false">IF(C360&lt;&gt;"", L360/(1-M360), "")</f>
        <v/>
      </c>
    </row>
    <row r="361" customFormat="false" ht="12.8" hidden="false" customHeight="false" outlineLevel="0" collapsed="false">
      <c r="A361" s="1" t="s">
        <v>1676</v>
      </c>
      <c r="B361" s="31" t="s">
        <v>1677</v>
      </c>
      <c r="D361" s="32" t="str">
        <f aca="true">IF(C361&lt;&gt;"", SUM(INDEX(INDIRECT("'" &amp; B361 &amp; "'.$A$1:$Z$1000"), 0, MATCH("count", INDIRECT("'" &amp; B361 &amp; "'.$A$1:$Z$1"), 0))), "")</f>
        <v/>
      </c>
      <c r="E361" s="33" t="str">
        <f aca="true">IF(C361&lt;&gt;"", SUM(INDEX(INDIRECT("'" &amp; B361 &amp; "'.$A$1:$Z$1000"), 0, MATCH("cost", INDIRECT("'" &amp; B361 &amp; "'.$A$1:$Z$1"), 0))), "")</f>
        <v/>
      </c>
      <c r="F361" s="40" t="str">
        <f aca="true">IF(C361&lt;&gt;"", SUM(INDEX(INDIRECT("'" &amp; B361 &amp; "'.$A$1:$Z$1000"), 0, MATCH("total_assembly_time_min", INDIRECT("'" &amp; B361 &amp; "'.$A$1:$Z$1"), 0)))/60, "")</f>
        <v/>
      </c>
      <c r="G361" s="33" t="str">
        <f aca="false">IF(C361&lt;&gt;"", values!$B$2, "")</f>
        <v/>
      </c>
      <c r="H361" s="33" t="str">
        <f aca="false">IF(C361&lt;&gt;"", F361*G361, "")</f>
        <v/>
      </c>
      <c r="I361" s="33" t="str">
        <f aca="false">IF(C361&lt;&gt;"", H361+E361, "")</f>
        <v/>
      </c>
      <c r="K361" s="33" t="str">
        <f aca="false">IF(C361&lt;&gt;"", L361-I361, "")</f>
        <v/>
      </c>
      <c r="L361" s="33" t="str">
        <f aca="false">IF(C361&lt;&gt;"", I361/(1-J361), "")</f>
        <v/>
      </c>
      <c r="M361" s="33" t="str">
        <f aca="false">IF(C361&lt;&gt;"", values!$A$2, "")</f>
        <v/>
      </c>
      <c r="N361" s="33" t="str">
        <f aca="false">IF(C361&lt;&gt;"", O361-L361, "")</f>
        <v/>
      </c>
      <c r="O361" s="33" t="str">
        <f aca="false">IF(C361&lt;&gt;"", L361/(1-M361), "")</f>
        <v/>
      </c>
    </row>
    <row r="362" customFormat="false" ht="12.8" hidden="false" customHeight="false" outlineLevel="0" collapsed="false">
      <c r="A362" s="1" t="s">
        <v>1678</v>
      </c>
      <c r="B362" s="31" t="s">
        <v>1679</v>
      </c>
      <c r="D362" s="32" t="str">
        <f aca="true">IF(C362&lt;&gt;"", SUM(INDEX(INDIRECT("'" &amp; B362 &amp; "'.$A$1:$Z$1000"), 0, MATCH("count", INDIRECT("'" &amp; B362 &amp; "'.$A$1:$Z$1"), 0))), "")</f>
        <v/>
      </c>
      <c r="E362" s="33" t="str">
        <f aca="true">IF(C362&lt;&gt;"", SUM(INDEX(INDIRECT("'" &amp; B362 &amp; "'.$A$1:$Z$1000"), 0, MATCH("cost", INDIRECT("'" &amp; B362 &amp; "'.$A$1:$Z$1"), 0))), "")</f>
        <v/>
      </c>
      <c r="F362" s="40" t="str">
        <f aca="true">IF(C362&lt;&gt;"", SUM(INDEX(INDIRECT("'" &amp; B362 &amp; "'.$A$1:$Z$1000"), 0, MATCH("total_assembly_time_min", INDIRECT("'" &amp; B362 &amp; "'.$A$1:$Z$1"), 0)))/60, "")</f>
        <v/>
      </c>
      <c r="G362" s="33" t="str">
        <f aca="false">IF(C362&lt;&gt;"", values!$B$2, "")</f>
        <v/>
      </c>
      <c r="H362" s="33" t="str">
        <f aca="false">IF(C362&lt;&gt;"", F362*G362, "")</f>
        <v/>
      </c>
      <c r="I362" s="33" t="str">
        <f aca="false">IF(C362&lt;&gt;"", H362+E362, "")</f>
        <v/>
      </c>
      <c r="K362" s="33" t="str">
        <f aca="false">IF(C362&lt;&gt;"", L362-I362, "")</f>
        <v/>
      </c>
      <c r="L362" s="33" t="str">
        <f aca="false">IF(C362&lt;&gt;"", I362/(1-J362), "")</f>
        <v/>
      </c>
      <c r="M362" s="33" t="str">
        <f aca="false">IF(C362&lt;&gt;"", values!$A$2, "")</f>
        <v/>
      </c>
      <c r="N362" s="33" t="str">
        <f aca="false">IF(C362&lt;&gt;"", O362-L362, "")</f>
        <v/>
      </c>
      <c r="O362" s="33" t="str">
        <f aca="false">IF(C362&lt;&gt;"", L362/(1-M362), "")</f>
        <v/>
      </c>
    </row>
    <row r="363" customFormat="false" ht="12.8" hidden="false" customHeight="false" outlineLevel="0" collapsed="false">
      <c r="A363" s="1" t="s">
        <v>1680</v>
      </c>
      <c r="B363" s="31" t="s">
        <v>1681</v>
      </c>
      <c r="D363" s="32" t="str">
        <f aca="true">IF(C363&lt;&gt;"", SUM(INDEX(INDIRECT("'" &amp; B363 &amp; "'.$A$1:$Z$1000"), 0, MATCH("count", INDIRECT("'" &amp; B363 &amp; "'.$A$1:$Z$1"), 0))), "")</f>
        <v/>
      </c>
      <c r="E363" s="33" t="str">
        <f aca="true">IF(C363&lt;&gt;"", SUM(INDEX(INDIRECT("'" &amp; B363 &amp; "'.$A$1:$Z$1000"), 0, MATCH("cost", INDIRECT("'" &amp; B363 &amp; "'.$A$1:$Z$1"), 0))), "")</f>
        <v/>
      </c>
      <c r="F363" s="40" t="str">
        <f aca="true">IF(C363&lt;&gt;"", SUM(INDEX(INDIRECT("'" &amp; B363 &amp; "'.$A$1:$Z$1000"), 0, MATCH("total_assembly_time_min", INDIRECT("'" &amp; B363 &amp; "'.$A$1:$Z$1"), 0)))/60, "")</f>
        <v/>
      </c>
      <c r="G363" s="33" t="str">
        <f aca="false">IF(C363&lt;&gt;"", values!$B$2, "")</f>
        <v/>
      </c>
      <c r="H363" s="33" t="str">
        <f aca="false">IF(C363&lt;&gt;"", F363*G363, "")</f>
        <v/>
      </c>
      <c r="I363" s="33" t="str">
        <f aca="false">IF(C363&lt;&gt;"", H363+E363, "")</f>
        <v/>
      </c>
      <c r="K363" s="33" t="str">
        <f aca="false">IF(C363&lt;&gt;"", L363-I363, "")</f>
        <v/>
      </c>
      <c r="L363" s="33" t="str">
        <f aca="false">IF(C363&lt;&gt;"", I363/(1-J363), "")</f>
        <v/>
      </c>
      <c r="M363" s="33" t="str">
        <f aca="false">IF(C363&lt;&gt;"", values!$A$2, "")</f>
        <v/>
      </c>
      <c r="N363" s="33" t="str">
        <f aca="false">IF(C363&lt;&gt;"", O363-L363, "")</f>
        <v/>
      </c>
      <c r="O363" s="33" t="str">
        <f aca="false">IF(C363&lt;&gt;"", L363/(1-M363), "")</f>
        <v/>
      </c>
    </row>
    <row r="364" customFormat="false" ht="12.8" hidden="false" customHeight="false" outlineLevel="0" collapsed="false">
      <c r="A364" s="1" t="s">
        <v>1682</v>
      </c>
      <c r="B364" s="31" t="s">
        <v>1683</v>
      </c>
      <c r="D364" s="32" t="str">
        <f aca="true">IF(C364&lt;&gt;"", SUM(INDEX(INDIRECT("'" &amp; B364 &amp; "'.$A$1:$Z$1000"), 0, MATCH("count", INDIRECT("'" &amp; B364 &amp; "'.$A$1:$Z$1"), 0))), "")</f>
        <v/>
      </c>
      <c r="E364" s="33" t="str">
        <f aca="true">IF(C364&lt;&gt;"", SUM(INDEX(INDIRECT("'" &amp; B364 &amp; "'.$A$1:$Z$1000"), 0, MATCH("cost", INDIRECT("'" &amp; B364 &amp; "'.$A$1:$Z$1"), 0))), "")</f>
        <v/>
      </c>
      <c r="F364" s="40" t="str">
        <f aca="true">IF(C364&lt;&gt;"", SUM(INDEX(INDIRECT("'" &amp; B364 &amp; "'.$A$1:$Z$1000"), 0, MATCH("total_assembly_time_min", INDIRECT("'" &amp; B364 &amp; "'.$A$1:$Z$1"), 0)))/60, "")</f>
        <v/>
      </c>
      <c r="G364" s="33" t="str">
        <f aca="false">IF(C364&lt;&gt;"", values!$B$2, "")</f>
        <v/>
      </c>
      <c r="H364" s="33" t="str">
        <f aca="false">IF(C364&lt;&gt;"", F364*G364, "")</f>
        <v/>
      </c>
      <c r="I364" s="33" t="str">
        <f aca="false">IF(C364&lt;&gt;"", H364+E364, "")</f>
        <v/>
      </c>
      <c r="K364" s="33" t="str">
        <f aca="false">IF(C364&lt;&gt;"", L364-I364, "")</f>
        <v/>
      </c>
      <c r="L364" s="33" t="str">
        <f aca="false">IF(C364&lt;&gt;"", I364/(1-J364), "")</f>
        <v/>
      </c>
      <c r="M364" s="33" t="str">
        <f aca="false">IF(C364&lt;&gt;"", values!$A$2, "")</f>
        <v/>
      </c>
      <c r="N364" s="33" t="str">
        <f aca="false">IF(C364&lt;&gt;"", O364-L364, "")</f>
        <v/>
      </c>
      <c r="O364" s="33" t="str">
        <f aca="false">IF(C364&lt;&gt;"", L364/(1-M364), "")</f>
        <v/>
      </c>
    </row>
    <row r="365" customFormat="false" ht="12.8" hidden="false" customHeight="false" outlineLevel="0" collapsed="false">
      <c r="A365" s="1" t="s">
        <v>1684</v>
      </c>
      <c r="B365" s="31" t="s">
        <v>1685</v>
      </c>
      <c r="D365" s="32" t="str">
        <f aca="true">IF(C365&lt;&gt;"", SUM(INDEX(INDIRECT("'" &amp; B365 &amp; "'.$A$1:$Z$1000"), 0, MATCH("count", INDIRECT("'" &amp; B365 &amp; "'.$A$1:$Z$1"), 0))), "")</f>
        <v/>
      </c>
      <c r="E365" s="33" t="str">
        <f aca="true">IF(C365&lt;&gt;"", SUM(INDEX(INDIRECT("'" &amp; B365 &amp; "'.$A$1:$Z$1000"), 0, MATCH("cost", INDIRECT("'" &amp; B365 &amp; "'.$A$1:$Z$1"), 0))), "")</f>
        <v/>
      </c>
      <c r="F365" s="40" t="str">
        <f aca="true">IF(C365&lt;&gt;"", SUM(INDEX(INDIRECT("'" &amp; B365 &amp; "'.$A$1:$Z$1000"), 0, MATCH("total_assembly_time_min", INDIRECT("'" &amp; B365 &amp; "'.$A$1:$Z$1"), 0)))/60, "")</f>
        <v/>
      </c>
      <c r="G365" s="33" t="str">
        <f aca="false">IF(C365&lt;&gt;"", values!$B$2, "")</f>
        <v/>
      </c>
      <c r="H365" s="33" t="str">
        <f aca="false">IF(C365&lt;&gt;"", F365*G365, "")</f>
        <v/>
      </c>
      <c r="I365" s="33" t="str">
        <f aca="false">IF(C365&lt;&gt;"", H365+E365, "")</f>
        <v/>
      </c>
      <c r="K365" s="33" t="str">
        <f aca="false">IF(C365&lt;&gt;"", L365-I365, "")</f>
        <v/>
      </c>
      <c r="L365" s="33" t="str">
        <f aca="false">IF(C365&lt;&gt;"", I365/(1-J365), "")</f>
        <v/>
      </c>
      <c r="M365" s="33" t="str">
        <f aca="false">IF(C365&lt;&gt;"", values!$A$2, "")</f>
        <v/>
      </c>
      <c r="N365" s="33" t="str">
        <f aca="false">IF(C365&lt;&gt;"", O365-L365, "")</f>
        <v/>
      </c>
      <c r="O365" s="33" t="str">
        <f aca="false">IF(C365&lt;&gt;"", L365/(1-M365), "")</f>
        <v/>
      </c>
    </row>
    <row r="366" customFormat="false" ht="12.8" hidden="false" customHeight="false" outlineLevel="0" collapsed="false">
      <c r="A366" s="1" t="s">
        <v>1686</v>
      </c>
      <c r="B366" s="31" t="s">
        <v>1687</v>
      </c>
      <c r="D366" s="32" t="str">
        <f aca="true">IF(C366&lt;&gt;"", SUM(INDEX(INDIRECT("'" &amp; B366 &amp; "'.$A$1:$Z$1000"), 0, MATCH("count", INDIRECT("'" &amp; B366 &amp; "'.$A$1:$Z$1"), 0))), "")</f>
        <v/>
      </c>
      <c r="E366" s="33" t="str">
        <f aca="true">IF(C366&lt;&gt;"", SUM(INDEX(INDIRECT("'" &amp; B366 &amp; "'.$A$1:$Z$1000"), 0, MATCH("cost", INDIRECT("'" &amp; B366 &amp; "'.$A$1:$Z$1"), 0))), "")</f>
        <v/>
      </c>
      <c r="F366" s="40" t="str">
        <f aca="true">IF(C366&lt;&gt;"", SUM(INDEX(INDIRECT("'" &amp; B366 &amp; "'.$A$1:$Z$1000"), 0, MATCH("total_assembly_time_min", INDIRECT("'" &amp; B366 &amp; "'.$A$1:$Z$1"), 0)))/60, "")</f>
        <v/>
      </c>
      <c r="G366" s="33" t="str">
        <f aca="false">IF(C366&lt;&gt;"", values!$B$2, "")</f>
        <v/>
      </c>
      <c r="H366" s="33" t="str">
        <f aca="false">IF(C366&lt;&gt;"", F366*G366, "")</f>
        <v/>
      </c>
      <c r="I366" s="33" t="str">
        <f aca="false">IF(C366&lt;&gt;"", H366+E366, "")</f>
        <v/>
      </c>
      <c r="K366" s="33" t="str">
        <f aca="false">IF(C366&lt;&gt;"", L366-I366, "")</f>
        <v/>
      </c>
      <c r="L366" s="33" t="str">
        <f aca="false">IF(C366&lt;&gt;"", I366/(1-J366), "")</f>
        <v/>
      </c>
      <c r="M366" s="33" t="str">
        <f aca="false">IF(C366&lt;&gt;"", values!$A$2, "")</f>
        <v/>
      </c>
      <c r="N366" s="33" t="str">
        <f aca="false">IF(C366&lt;&gt;"", O366-L366, "")</f>
        <v/>
      </c>
      <c r="O366" s="33" t="str">
        <f aca="false">IF(C366&lt;&gt;"", L366/(1-M366), "")</f>
        <v/>
      </c>
    </row>
    <row r="367" customFormat="false" ht="12.8" hidden="false" customHeight="false" outlineLevel="0" collapsed="false">
      <c r="A367" s="1" t="s">
        <v>1688</v>
      </c>
      <c r="B367" s="31" t="s">
        <v>1689</v>
      </c>
      <c r="D367" s="32" t="str">
        <f aca="true">IF(C367&lt;&gt;"", SUM(INDEX(INDIRECT("'" &amp; B367 &amp; "'.$A$1:$Z$1000"), 0, MATCH("count", INDIRECT("'" &amp; B367 &amp; "'.$A$1:$Z$1"), 0))), "")</f>
        <v/>
      </c>
      <c r="E367" s="33" t="str">
        <f aca="true">IF(C367&lt;&gt;"", SUM(INDEX(INDIRECT("'" &amp; B367 &amp; "'.$A$1:$Z$1000"), 0, MATCH("cost", INDIRECT("'" &amp; B367 &amp; "'.$A$1:$Z$1"), 0))), "")</f>
        <v/>
      </c>
      <c r="F367" s="40" t="str">
        <f aca="true">IF(C367&lt;&gt;"", SUM(INDEX(INDIRECT("'" &amp; B367 &amp; "'.$A$1:$Z$1000"), 0, MATCH("total_assembly_time_min", INDIRECT("'" &amp; B367 &amp; "'.$A$1:$Z$1"), 0)))/60, "")</f>
        <v/>
      </c>
      <c r="G367" s="33" t="str">
        <f aca="false">IF(C367&lt;&gt;"", values!$B$2, "")</f>
        <v/>
      </c>
      <c r="H367" s="33" t="str">
        <f aca="false">IF(C367&lt;&gt;"", F367*G367, "")</f>
        <v/>
      </c>
      <c r="I367" s="33" t="str">
        <f aca="false">IF(C367&lt;&gt;"", H367+E367, "")</f>
        <v/>
      </c>
      <c r="K367" s="33" t="str">
        <f aca="false">IF(C367&lt;&gt;"", L367-I367, "")</f>
        <v/>
      </c>
      <c r="L367" s="33" t="str">
        <f aca="false">IF(C367&lt;&gt;"", I367/(1-J367), "")</f>
        <v/>
      </c>
      <c r="M367" s="33" t="str">
        <f aca="false">IF(C367&lt;&gt;"", values!$A$2, "")</f>
        <v/>
      </c>
      <c r="N367" s="33" t="str">
        <f aca="false">IF(C367&lt;&gt;"", O367-L367, "")</f>
        <v/>
      </c>
      <c r="O367" s="33" t="str">
        <f aca="false">IF(C367&lt;&gt;"", L367/(1-M367), "")</f>
        <v/>
      </c>
    </row>
    <row r="368" customFormat="false" ht="12.8" hidden="false" customHeight="false" outlineLevel="0" collapsed="false">
      <c r="A368" s="1" t="s">
        <v>1690</v>
      </c>
      <c r="B368" s="31" t="s">
        <v>1691</v>
      </c>
      <c r="D368" s="32" t="str">
        <f aca="true">IF(C368&lt;&gt;"", SUM(INDEX(INDIRECT("'" &amp; B368 &amp; "'.$A$1:$Z$1000"), 0, MATCH("count", INDIRECT("'" &amp; B368 &amp; "'.$A$1:$Z$1"), 0))), "")</f>
        <v/>
      </c>
      <c r="E368" s="33" t="str">
        <f aca="true">IF(C368&lt;&gt;"", SUM(INDEX(INDIRECT("'" &amp; B368 &amp; "'.$A$1:$Z$1000"), 0, MATCH("cost", INDIRECT("'" &amp; B368 &amp; "'.$A$1:$Z$1"), 0))), "")</f>
        <v/>
      </c>
      <c r="F368" s="40" t="str">
        <f aca="true">IF(C368&lt;&gt;"", SUM(INDEX(INDIRECT("'" &amp; B368 &amp; "'.$A$1:$Z$1000"), 0, MATCH("total_assembly_time_min", INDIRECT("'" &amp; B368 &amp; "'.$A$1:$Z$1"), 0)))/60, "")</f>
        <v/>
      </c>
      <c r="G368" s="33" t="str">
        <f aca="false">IF(C368&lt;&gt;"", values!$B$2, "")</f>
        <v/>
      </c>
      <c r="H368" s="33" t="str">
        <f aca="false">IF(C368&lt;&gt;"", F368*G368, "")</f>
        <v/>
      </c>
      <c r="I368" s="33" t="str">
        <f aca="false">IF(C368&lt;&gt;"", H368+E368, "")</f>
        <v/>
      </c>
      <c r="K368" s="33" t="str">
        <f aca="false">IF(C368&lt;&gt;"", L368-I368, "")</f>
        <v/>
      </c>
      <c r="L368" s="33" t="str">
        <f aca="false">IF(C368&lt;&gt;"", I368/(1-J368), "")</f>
        <v/>
      </c>
      <c r="M368" s="33" t="str">
        <f aca="false">IF(C368&lt;&gt;"", values!$A$2, "")</f>
        <v/>
      </c>
      <c r="N368" s="33" t="str">
        <f aca="false">IF(C368&lt;&gt;"", O368-L368, "")</f>
        <v/>
      </c>
      <c r="O368" s="33" t="str">
        <f aca="false">IF(C368&lt;&gt;"", L368/(1-M368), "")</f>
        <v/>
      </c>
    </row>
    <row r="369" customFormat="false" ht="12.8" hidden="false" customHeight="false" outlineLevel="0" collapsed="false">
      <c r="A369" s="1" t="s">
        <v>1692</v>
      </c>
      <c r="B369" s="31" t="s">
        <v>1693</v>
      </c>
      <c r="D369" s="32" t="str">
        <f aca="true">IF(C369&lt;&gt;"", SUM(INDEX(INDIRECT("'" &amp; B369 &amp; "'.$A$1:$Z$1000"), 0, MATCH("count", INDIRECT("'" &amp; B369 &amp; "'.$A$1:$Z$1"), 0))), "")</f>
        <v/>
      </c>
      <c r="E369" s="33" t="str">
        <f aca="true">IF(C369&lt;&gt;"", SUM(INDEX(INDIRECT("'" &amp; B369 &amp; "'.$A$1:$Z$1000"), 0, MATCH("cost", INDIRECT("'" &amp; B369 &amp; "'.$A$1:$Z$1"), 0))), "")</f>
        <v/>
      </c>
      <c r="F369" s="40" t="str">
        <f aca="true">IF(C369&lt;&gt;"", SUM(INDEX(INDIRECT("'" &amp; B369 &amp; "'.$A$1:$Z$1000"), 0, MATCH("total_assembly_time_min", INDIRECT("'" &amp; B369 &amp; "'.$A$1:$Z$1"), 0)))/60, "")</f>
        <v/>
      </c>
      <c r="G369" s="33" t="str">
        <f aca="false">IF(C369&lt;&gt;"", values!$B$2, "")</f>
        <v/>
      </c>
      <c r="H369" s="33" t="str">
        <f aca="false">IF(C369&lt;&gt;"", F369*G369, "")</f>
        <v/>
      </c>
      <c r="I369" s="33" t="str">
        <f aca="false">IF(C369&lt;&gt;"", H369+E369, "")</f>
        <v/>
      </c>
      <c r="K369" s="33" t="str">
        <f aca="false">IF(C369&lt;&gt;"", L369-I369, "")</f>
        <v/>
      </c>
      <c r="L369" s="33" t="str">
        <f aca="false">IF(C369&lt;&gt;"", I369/(1-J369), "")</f>
        <v/>
      </c>
      <c r="M369" s="33" t="str">
        <f aca="false">IF(C369&lt;&gt;"", values!$A$2, "")</f>
        <v/>
      </c>
      <c r="N369" s="33" t="str">
        <f aca="false">IF(C369&lt;&gt;"", O369-L369, "")</f>
        <v/>
      </c>
      <c r="O369" s="33" t="str">
        <f aca="false">IF(C369&lt;&gt;"", L369/(1-M369), "")</f>
        <v/>
      </c>
    </row>
    <row r="370" customFormat="false" ht="12.8" hidden="false" customHeight="false" outlineLevel="0" collapsed="false">
      <c r="A370" s="1" t="s">
        <v>1694</v>
      </c>
      <c r="B370" s="31" t="s">
        <v>1695</v>
      </c>
      <c r="D370" s="32" t="str">
        <f aca="true">IF(C370&lt;&gt;"", SUM(INDEX(INDIRECT("'" &amp; B370 &amp; "'.$A$1:$Z$1000"), 0, MATCH("count", INDIRECT("'" &amp; B370 &amp; "'.$A$1:$Z$1"), 0))), "")</f>
        <v/>
      </c>
      <c r="E370" s="33" t="str">
        <f aca="true">IF(C370&lt;&gt;"", SUM(INDEX(INDIRECT("'" &amp; B370 &amp; "'.$A$1:$Z$1000"), 0, MATCH("cost", INDIRECT("'" &amp; B370 &amp; "'.$A$1:$Z$1"), 0))), "")</f>
        <v/>
      </c>
      <c r="F370" s="40" t="str">
        <f aca="true">IF(C370&lt;&gt;"", SUM(INDEX(INDIRECT("'" &amp; B370 &amp; "'.$A$1:$Z$1000"), 0, MATCH("total_assembly_time_min", INDIRECT("'" &amp; B370 &amp; "'.$A$1:$Z$1"), 0)))/60, "")</f>
        <v/>
      </c>
      <c r="G370" s="33" t="str">
        <f aca="false">IF(C370&lt;&gt;"", values!$B$2, "")</f>
        <v/>
      </c>
      <c r="H370" s="33" t="str">
        <f aca="false">IF(C370&lt;&gt;"", F370*G370, "")</f>
        <v/>
      </c>
      <c r="I370" s="33" t="str">
        <f aca="false">IF(C370&lt;&gt;"", H370+E370, "")</f>
        <v/>
      </c>
      <c r="K370" s="33" t="str">
        <f aca="false">IF(C370&lt;&gt;"", L370-I370, "")</f>
        <v/>
      </c>
      <c r="L370" s="33" t="str">
        <f aca="false">IF(C370&lt;&gt;"", I370/(1-J370), "")</f>
        <v/>
      </c>
      <c r="M370" s="33" t="str">
        <f aca="false">IF(C370&lt;&gt;"", values!$A$2, "")</f>
        <v/>
      </c>
      <c r="N370" s="33" t="str">
        <f aca="false">IF(C370&lt;&gt;"", O370-L370, "")</f>
        <v/>
      </c>
      <c r="O370" s="33" t="str">
        <f aca="false">IF(C370&lt;&gt;"", L370/(1-M370), "")</f>
        <v/>
      </c>
    </row>
    <row r="371" customFormat="false" ht="12.8" hidden="false" customHeight="false" outlineLevel="0" collapsed="false">
      <c r="A371" s="1" t="s">
        <v>1696</v>
      </c>
      <c r="B371" s="31" t="s">
        <v>1697</v>
      </c>
      <c r="D371" s="32" t="str">
        <f aca="true">IF(C371&lt;&gt;"", SUM(INDEX(INDIRECT("'" &amp; B371 &amp; "'.$A$1:$Z$1000"), 0, MATCH("count", INDIRECT("'" &amp; B371 &amp; "'.$A$1:$Z$1"), 0))), "")</f>
        <v/>
      </c>
      <c r="E371" s="33" t="str">
        <f aca="true">IF(C371&lt;&gt;"", SUM(INDEX(INDIRECT("'" &amp; B371 &amp; "'.$A$1:$Z$1000"), 0, MATCH("cost", INDIRECT("'" &amp; B371 &amp; "'.$A$1:$Z$1"), 0))), "")</f>
        <v/>
      </c>
      <c r="F371" s="40" t="str">
        <f aca="true">IF(C371&lt;&gt;"", SUM(INDEX(INDIRECT("'" &amp; B371 &amp; "'.$A$1:$Z$1000"), 0, MATCH("total_assembly_time_min", INDIRECT("'" &amp; B371 &amp; "'.$A$1:$Z$1"), 0)))/60, "")</f>
        <v/>
      </c>
      <c r="G371" s="33" t="str">
        <f aca="false">IF(C371&lt;&gt;"", values!$B$2, "")</f>
        <v/>
      </c>
      <c r="H371" s="33" t="str">
        <f aca="false">IF(C371&lt;&gt;"", F371*G371, "")</f>
        <v/>
      </c>
      <c r="I371" s="33" t="str">
        <f aca="false">IF(C371&lt;&gt;"", H371+E371, "")</f>
        <v/>
      </c>
      <c r="K371" s="33" t="str">
        <f aca="false">IF(C371&lt;&gt;"", L371-I371, "")</f>
        <v/>
      </c>
      <c r="L371" s="33" t="str">
        <f aca="false">IF(C371&lt;&gt;"", I371/(1-J371), "")</f>
        <v/>
      </c>
      <c r="M371" s="33" t="str">
        <f aca="false">IF(C371&lt;&gt;"", values!$A$2, "")</f>
        <v/>
      </c>
      <c r="N371" s="33" t="str">
        <f aca="false">IF(C371&lt;&gt;"", O371-L371, "")</f>
        <v/>
      </c>
      <c r="O371" s="33" t="str">
        <f aca="false">IF(C371&lt;&gt;"", L371/(1-M371), "")</f>
        <v/>
      </c>
    </row>
    <row r="372" customFormat="false" ht="12.8" hidden="false" customHeight="false" outlineLevel="0" collapsed="false">
      <c r="A372" s="1" t="s">
        <v>1698</v>
      </c>
      <c r="B372" s="31" t="s">
        <v>1699</v>
      </c>
      <c r="D372" s="32" t="str">
        <f aca="true">IF(C372&lt;&gt;"", SUM(INDEX(INDIRECT("'" &amp; B372 &amp; "'.$A$1:$Z$1000"), 0, MATCH("count", INDIRECT("'" &amp; B372 &amp; "'.$A$1:$Z$1"), 0))), "")</f>
        <v/>
      </c>
      <c r="E372" s="33" t="str">
        <f aca="true">IF(C372&lt;&gt;"", SUM(INDEX(INDIRECT("'" &amp; B372 &amp; "'.$A$1:$Z$1000"), 0, MATCH("cost", INDIRECT("'" &amp; B372 &amp; "'.$A$1:$Z$1"), 0))), "")</f>
        <v/>
      </c>
      <c r="F372" s="40" t="str">
        <f aca="true">IF(C372&lt;&gt;"", SUM(INDEX(INDIRECT("'" &amp; B372 &amp; "'.$A$1:$Z$1000"), 0, MATCH("total_assembly_time_min", INDIRECT("'" &amp; B372 &amp; "'.$A$1:$Z$1"), 0)))/60, "")</f>
        <v/>
      </c>
      <c r="G372" s="33" t="str">
        <f aca="false">IF(C372&lt;&gt;"", values!$B$2, "")</f>
        <v/>
      </c>
      <c r="H372" s="33" t="str">
        <f aca="false">IF(C372&lt;&gt;"", F372*G372, "")</f>
        <v/>
      </c>
      <c r="I372" s="33" t="str">
        <f aca="false">IF(C372&lt;&gt;"", H372+E372, "")</f>
        <v/>
      </c>
      <c r="K372" s="33" t="str">
        <f aca="false">IF(C372&lt;&gt;"", L372-I372, "")</f>
        <v/>
      </c>
      <c r="L372" s="33" t="str">
        <f aca="false">IF(C372&lt;&gt;"", I372/(1-J372), "")</f>
        <v/>
      </c>
      <c r="M372" s="33" t="str">
        <f aca="false">IF(C372&lt;&gt;"", values!$A$2, "")</f>
        <v/>
      </c>
      <c r="N372" s="33" t="str">
        <f aca="false">IF(C372&lt;&gt;"", O372-L372, "")</f>
        <v/>
      </c>
      <c r="O372" s="33" t="str">
        <f aca="false">IF(C372&lt;&gt;"", L372/(1-M372), "")</f>
        <v/>
      </c>
    </row>
    <row r="373" customFormat="false" ht="12.8" hidden="false" customHeight="false" outlineLevel="0" collapsed="false">
      <c r="A373" s="1" t="s">
        <v>1700</v>
      </c>
      <c r="B373" s="31" t="s">
        <v>1701</v>
      </c>
      <c r="D373" s="32" t="str">
        <f aca="true">IF(C373&lt;&gt;"", SUM(INDEX(INDIRECT("'" &amp; B373 &amp; "'.$A$1:$Z$1000"), 0, MATCH("count", INDIRECT("'" &amp; B373 &amp; "'.$A$1:$Z$1"), 0))), "")</f>
        <v/>
      </c>
      <c r="E373" s="33" t="str">
        <f aca="true">IF(C373&lt;&gt;"", SUM(INDEX(INDIRECT("'" &amp; B373 &amp; "'.$A$1:$Z$1000"), 0, MATCH("cost", INDIRECT("'" &amp; B373 &amp; "'.$A$1:$Z$1"), 0))), "")</f>
        <v/>
      </c>
      <c r="F373" s="40" t="str">
        <f aca="true">IF(C373&lt;&gt;"", SUM(INDEX(INDIRECT("'" &amp; B373 &amp; "'.$A$1:$Z$1000"), 0, MATCH("total_assembly_time_min", INDIRECT("'" &amp; B373 &amp; "'.$A$1:$Z$1"), 0)))/60, "")</f>
        <v/>
      </c>
      <c r="G373" s="33" t="str">
        <f aca="false">IF(C373&lt;&gt;"", values!$B$2, "")</f>
        <v/>
      </c>
      <c r="H373" s="33" t="str">
        <f aca="false">IF(C373&lt;&gt;"", F373*G373, "")</f>
        <v/>
      </c>
      <c r="I373" s="33" t="str">
        <f aca="false">IF(C373&lt;&gt;"", H373+E373, "")</f>
        <v/>
      </c>
      <c r="K373" s="33" t="str">
        <f aca="false">IF(C373&lt;&gt;"", L373-I373, "")</f>
        <v/>
      </c>
      <c r="L373" s="33" t="str">
        <f aca="false">IF(C373&lt;&gt;"", I373/(1-J373), "")</f>
        <v/>
      </c>
      <c r="M373" s="33" t="str">
        <f aca="false">IF(C373&lt;&gt;"", values!$A$2, "")</f>
        <v/>
      </c>
      <c r="N373" s="33" t="str">
        <f aca="false">IF(C373&lt;&gt;"", O373-L373, "")</f>
        <v/>
      </c>
      <c r="O373" s="33" t="str">
        <f aca="false">IF(C373&lt;&gt;"", L373/(1-M373), "")</f>
        <v/>
      </c>
    </row>
    <row r="374" customFormat="false" ht="12.8" hidden="false" customHeight="false" outlineLevel="0" collapsed="false">
      <c r="A374" s="1" t="s">
        <v>1702</v>
      </c>
      <c r="B374" s="31" t="s">
        <v>1703</v>
      </c>
      <c r="D374" s="32" t="str">
        <f aca="true">IF(C374&lt;&gt;"", SUM(INDEX(INDIRECT("'" &amp; B374 &amp; "'.$A$1:$Z$1000"), 0, MATCH("count", INDIRECT("'" &amp; B374 &amp; "'.$A$1:$Z$1"), 0))), "")</f>
        <v/>
      </c>
      <c r="E374" s="33" t="str">
        <f aca="true">IF(C374&lt;&gt;"", SUM(INDEX(INDIRECT("'" &amp; B374 &amp; "'.$A$1:$Z$1000"), 0, MATCH("cost", INDIRECT("'" &amp; B374 &amp; "'.$A$1:$Z$1"), 0))), "")</f>
        <v/>
      </c>
      <c r="F374" s="40" t="str">
        <f aca="true">IF(C374&lt;&gt;"", SUM(INDEX(INDIRECT("'" &amp; B374 &amp; "'.$A$1:$Z$1000"), 0, MATCH("total_assembly_time_min", INDIRECT("'" &amp; B374 &amp; "'.$A$1:$Z$1"), 0)))/60, "")</f>
        <v/>
      </c>
      <c r="G374" s="33" t="str">
        <f aca="false">IF(C374&lt;&gt;"", values!$B$2, "")</f>
        <v/>
      </c>
      <c r="H374" s="33" t="str">
        <f aca="false">IF(C374&lt;&gt;"", F374*G374, "")</f>
        <v/>
      </c>
      <c r="I374" s="33" t="str">
        <f aca="false">IF(C374&lt;&gt;"", H374+E374, "")</f>
        <v/>
      </c>
      <c r="K374" s="33" t="str">
        <f aca="false">IF(C374&lt;&gt;"", L374-I374, "")</f>
        <v/>
      </c>
      <c r="L374" s="33" t="str">
        <f aca="false">IF(C374&lt;&gt;"", I374/(1-J374), "")</f>
        <v/>
      </c>
      <c r="M374" s="33" t="str">
        <f aca="false">IF(C374&lt;&gt;"", values!$A$2, "")</f>
        <v/>
      </c>
      <c r="N374" s="33" t="str">
        <f aca="false">IF(C374&lt;&gt;"", O374-L374, "")</f>
        <v/>
      </c>
      <c r="O374" s="33" t="str">
        <f aca="false">IF(C374&lt;&gt;"", L374/(1-M374), "")</f>
        <v/>
      </c>
    </row>
    <row r="375" customFormat="false" ht="12.8" hidden="false" customHeight="false" outlineLevel="0" collapsed="false">
      <c r="A375" s="1" t="s">
        <v>1704</v>
      </c>
      <c r="B375" s="31" t="s">
        <v>1705</v>
      </c>
      <c r="D375" s="32" t="str">
        <f aca="true">IF(C375&lt;&gt;"", SUM(INDEX(INDIRECT("'" &amp; B375 &amp; "'.$A$1:$Z$1000"), 0, MATCH("count", INDIRECT("'" &amp; B375 &amp; "'.$A$1:$Z$1"), 0))), "")</f>
        <v/>
      </c>
      <c r="E375" s="33" t="str">
        <f aca="true">IF(C375&lt;&gt;"", SUM(INDEX(INDIRECT("'" &amp; B375 &amp; "'.$A$1:$Z$1000"), 0, MATCH("cost", INDIRECT("'" &amp; B375 &amp; "'.$A$1:$Z$1"), 0))), "")</f>
        <v/>
      </c>
      <c r="F375" s="40" t="str">
        <f aca="true">IF(C375&lt;&gt;"", SUM(INDEX(INDIRECT("'" &amp; B375 &amp; "'.$A$1:$Z$1000"), 0, MATCH("total_assembly_time_min", INDIRECT("'" &amp; B375 &amp; "'.$A$1:$Z$1"), 0)))/60, "")</f>
        <v/>
      </c>
      <c r="G375" s="33" t="str">
        <f aca="false">IF(C375&lt;&gt;"", values!$B$2, "")</f>
        <v/>
      </c>
      <c r="H375" s="33" t="str">
        <f aca="false">IF(C375&lt;&gt;"", F375*G375, "")</f>
        <v/>
      </c>
      <c r="I375" s="33" t="str">
        <f aca="false">IF(C375&lt;&gt;"", H375+E375, "")</f>
        <v/>
      </c>
      <c r="K375" s="33" t="str">
        <f aca="false">IF(C375&lt;&gt;"", L375-I375, "")</f>
        <v/>
      </c>
      <c r="L375" s="33" t="str">
        <f aca="false">IF(C375&lt;&gt;"", I375/(1-J375), "")</f>
        <v/>
      </c>
      <c r="M375" s="33" t="str">
        <f aca="false">IF(C375&lt;&gt;"", values!$A$2, "")</f>
        <v/>
      </c>
      <c r="N375" s="33" t="str">
        <f aca="false">IF(C375&lt;&gt;"", O375-L375, "")</f>
        <v/>
      </c>
      <c r="O375" s="33" t="str">
        <f aca="false">IF(C375&lt;&gt;"", L375/(1-M375), "")</f>
        <v/>
      </c>
    </row>
    <row r="376" customFormat="false" ht="12.8" hidden="false" customHeight="false" outlineLevel="0" collapsed="false">
      <c r="A376" s="1" t="s">
        <v>1706</v>
      </c>
      <c r="B376" s="31" t="s">
        <v>1707</v>
      </c>
      <c r="D376" s="32" t="str">
        <f aca="true">IF(C376&lt;&gt;"", SUM(INDEX(INDIRECT("'" &amp; B376 &amp; "'.$A$1:$Z$1000"), 0, MATCH("count", INDIRECT("'" &amp; B376 &amp; "'.$A$1:$Z$1"), 0))), "")</f>
        <v/>
      </c>
      <c r="E376" s="33" t="str">
        <f aca="true">IF(C376&lt;&gt;"", SUM(INDEX(INDIRECT("'" &amp; B376 &amp; "'.$A$1:$Z$1000"), 0, MATCH("cost", INDIRECT("'" &amp; B376 &amp; "'.$A$1:$Z$1"), 0))), "")</f>
        <v/>
      </c>
      <c r="F376" s="40" t="str">
        <f aca="true">IF(C376&lt;&gt;"", SUM(INDEX(INDIRECT("'" &amp; B376 &amp; "'.$A$1:$Z$1000"), 0, MATCH("total_assembly_time_min", INDIRECT("'" &amp; B376 &amp; "'.$A$1:$Z$1"), 0)))/60, "")</f>
        <v/>
      </c>
      <c r="G376" s="33" t="str">
        <f aca="false">IF(C376&lt;&gt;"", values!$B$2, "")</f>
        <v/>
      </c>
      <c r="H376" s="33" t="str">
        <f aca="false">IF(C376&lt;&gt;"", F376*G376, "")</f>
        <v/>
      </c>
      <c r="I376" s="33" t="str">
        <f aca="false">IF(C376&lt;&gt;"", H376+E376, "")</f>
        <v/>
      </c>
      <c r="K376" s="33" t="str">
        <f aca="false">IF(C376&lt;&gt;"", L376-I376, "")</f>
        <v/>
      </c>
      <c r="L376" s="33" t="str">
        <f aca="false">IF(C376&lt;&gt;"", I376/(1-J376), "")</f>
        <v/>
      </c>
      <c r="M376" s="33" t="str">
        <f aca="false">IF(C376&lt;&gt;"", values!$A$2, "")</f>
        <v/>
      </c>
      <c r="N376" s="33" t="str">
        <f aca="false">IF(C376&lt;&gt;"", O376-L376, "")</f>
        <v/>
      </c>
      <c r="O376" s="33" t="str">
        <f aca="false">IF(C376&lt;&gt;"", L376/(1-M376), "")</f>
        <v/>
      </c>
    </row>
    <row r="377" customFormat="false" ht="12.8" hidden="false" customHeight="false" outlineLevel="0" collapsed="false">
      <c r="A377" s="1" t="s">
        <v>1708</v>
      </c>
      <c r="B377" s="31" t="s">
        <v>1709</v>
      </c>
      <c r="D377" s="32" t="str">
        <f aca="true">IF(C377&lt;&gt;"", SUM(INDEX(INDIRECT("'" &amp; B377 &amp; "'.$A$1:$Z$1000"), 0, MATCH("count", INDIRECT("'" &amp; B377 &amp; "'.$A$1:$Z$1"), 0))), "")</f>
        <v/>
      </c>
      <c r="E377" s="33" t="str">
        <f aca="true">IF(C377&lt;&gt;"", SUM(INDEX(INDIRECT("'" &amp; B377 &amp; "'.$A$1:$Z$1000"), 0, MATCH("cost", INDIRECT("'" &amp; B377 &amp; "'.$A$1:$Z$1"), 0))), "")</f>
        <v/>
      </c>
      <c r="F377" s="40" t="str">
        <f aca="true">IF(C377&lt;&gt;"", SUM(INDEX(INDIRECT("'" &amp; B377 &amp; "'.$A$1:$Z$1000"), 0, MATCH("total_assembly_time_min", INDIRECT("'" &amp; B377 &amp; "'.$A$1:$Z$1"), 0)))/60, "")</f>
        <v/>
      </c>
      <c r="G377" s="33" t="str">
        <f aca="false">IF(C377&lt;&gt;"", values!$B$2, "")</f>
        <v/>
      </c>
      <c r="H377" s="33" t="str">
        <f aca="false">IF(C377&lt;&gt;"", F377*G377, "")</f>
        <v/>
      </c>
      <c r="I377" s="33" t="str">
        <f aca="false">IF(C377&lt;&gt;"", H377+E377, "")</f>
        <v/>
      </c>
      <c r="K377" s="33" t="str">
        <f aca="false">IF(C377&lt;&gt;"", L377-I377, "")</f>
        <v/>
      </c>
      <c r="L377" s="33" t="str">
        <f aca="false">IF(C377&lt;&gt;"", I377/(1-J377), "")</f>
        <v/>
      </c>
      <c r="M377" s="33" t="str">
        <f aca="false">IF(C377&lt;&gt;"", values!$A$2, "")</f>
        <v/>
      </c>
      <c r="N377" s="33" t="str">
        <f aca="false">IF(C377&lt;&gt;"", O377-L377, "")</f>
        <v/>
      </c>
      <c r="O377" s="33" t="str">
        <f aca="false">IF(C377&lt;&gt;"", L377/(1-M377), "")</f>
        <v/>
      </c>
    </row>
    <row r="378" customFormat="false" ht="12.8" hidden="false" customHeight="false" outlineLevel="0" collapsed="false">
      <c r="A378" s="1" t="s">
        <v>1710</v>
      </c>
      <c r="B378" s="31" t="s">
        <v>1711</v>
      </c>
      <c r="D378" s="32" t="str">
        <f aca="true">IF(C378&lt;&gt;"", SUM(INDEX(INDIRECT("'" &amp; B378 &amp; "'.$A$1:$Z$1000"), 0, MATCH("count", INDIRECT("'" &amp; B378 &amp; "'.$A$1:$Z$1"), 0))), "")</f>
        <v/>
      </c>
      <c r="E378" s="33" t="str">
        <f aca="true">IF(C378&lt;&gt;"", SUM(INDEX(INDIRECT("'" &amp; B378 &amp; "'.$A$1:$Z$1000"), 0, MATCH("cost", INDIRECT("'" &amp; B378 &amp; "'.$A$1:$Z$1"), 0))), "")</f>
        <v/>
      </c>
      <c r="F378" s="40" t="str">
        <f aca="true">IF(C378&lt;&gt;"", SUM(INDEX(INDIRECT("'" &amp; B378 &amp; "'.$A$1:$Z$1000"), 0, MATCH("total_assembly_time_min", INDIRECT("'" &amp; B378 &amp; "'.$A$1:$Z$1"), 0)))/60, "")</f>
        <v/>
      </c>
      <c r="G378" s="33" t="str">
        <f aca="false">IF(C378&lt;&gt;"", values!$B$2, "")</f>
        <v/>
      </c>
      <c r="H378" s="33" t="str">
        <f aca="false">IF(C378&lt;&gt;"", F378*G378, "")</f>
        <v/>
      </c>
      <c r="I378" s="33" t="str">
        <f aca="false">IF(C378&lt;&gt;"", H378+E378, "")</f>
        <v/>
      </c>
      <c r="K378" s="33" t="str">
        <f aca="false">IF(C378&lt;&gt;"", L378-I378, "")</f>
        <v/>
      </c>
      <c r="L378" s="33" t="str">
        <f aca="false">IF(C378&lt;&gt;"", I378/(1-J378), "")</f>
        <v/>
      </c>
      <c r="M378" s="33" t="str">
        <f aca="false">IF(C378&lt;&gt;"", values!$A$2, "")</f>
        <v/>
      </c>
      <c r="N378" s="33" t="str">
        <f aca="false">IF(C378&lt;&gt;"", O378-L378, "")</f>
        <v/>
      </c>
      <c r="O378" s="33" t="str">
        <f aca="false">IF(C378&lt;&gt;"", L378/(1-M378), "")</f>
        <v/>
      </c>
    </row>
    <row r="379" customFormat="false" ht="12.8" hidden="false" customHeight="false" outlineLevel="0" collapsed="false">
      <c r="A379" s="1" t="s">
        <v>1712</v>
      </c>
      <c r="B379" s="31" t="s">
        <v>1713</v>
      </c>
      <c r="D379" s="32" t="str">
        <f aca="true">IF(C379&lt;&gt;"", SUM(INDEX(INDIRECT("'" &amp; B379 &amp; "'.$A$1:$Z$1000"), 0, MATCH("count", INDIRECT("'" &amp; B379 &amp; "'.$A$1:$Z$1"), 0))), "")</f>
        <v/>
      </c>
      <c r="E379" s="33" t="str">
        <f aca="true">IF(C379&lt;&gt;"", SUM(INDEX(INDIRECT("'" &amp; B379 &amp; "'.$A$1:$Z$1000"), 0, MATCH("cost", INDIRECT("'" &amp; B379 &amp; "'.$A$1:$Z$1"), 0))), "")</f>
        <v/>
      </c>
      <c r="F379" s="40" t="str">
        <f aca="true">IF(C379&lt;&gt;"", SUM(INDEX(INDIRECT("'" &amp; B379 &amp; "'.$A$1:$Z$1000"), 0, MATCH("total_assembly_time_min", INDIRECT("'" &amp; B379 &amp; "'.$A$1:$Z$1"), 0)))/60, "")</f>
        <v/>
      </c>
      <c r="G379" s="33" t="str">
        <f aca="false">IF(C379&lt;&gt;"", values!$B$2, "")</f>
        <v/>
      </c>
      <c r="H379" s="33" t="str">
        <f aca="false">IF(C379&lt;&gt;"", F379*G379, "")</f>
        <v/>
      </c>
      <c r="I379" s="33" t="str">
        <f aca="false">IF(C379&lt;&gt;"", H379+E379, "")</f>
        <v/>
      </c>
      <c r="K379" s="33" t="str">
        <f aca="false">IF(C379&lt;&gt;"", L379-I379, "")</f>
        <v/>
      </c>
      <c r="L379" s="33" t="str">
        <f aca="false">IF(C379&lt;&gt;"", I379/(1-J379), "")</f>
        <v/>
      </c>
      <c r="M379" s="33" t="str">
        <f aca="false">IF(C379&lt;&gt;"", values!$A$2, "")</f>
        <v/>
      </c>
      <c r="N379" s="33" t="str">
        <f aca="false">IF(C379&lt;&gt;"", O379-L379, "")</f>
        <v/>
      </c>
      <c r="O379" s="33" t="str">
        <f aca="false">IF(C379&lt;&gt;"", L379/(1-M379), "")</f>
        <v/>
      </c>
    </row>
    <row r="380" customFormat="false" ht="12.8" hidden="false" customHeight="false" outlineLevel="0" collapsed="false">
      <c r="A380" s="1" t="s">
        <v>1714</v>
      </c>
      <c r="B380" s="31" t="s">
        <v>1715</v>
      </c>
      <c r="D380" s="32" t="str">
        <f aca="true">IF(C380&lt;&gt;"", SUM(INDEX(INDIRECT("'" &amp; B380 &amp; "'.$A$1:$Z$1000"), 0, MATCH("count", INDIRECT("'" &amp; B380 &amp; "'.$A$1:$Z$1"), 0))), "")</f>
        <v/>
      </c>
      <c r="E380" s="33" t="str">
        <f aca="true">IF(C380&lt;&gt;"", SUM(INDEX(INDIRECT("'" &amp; B380 &amp; "'.$A$1:$Z$1000"), 0, MATCH("cost", INDIRECT("'" &amp; B380 &amp; "'.$A$1:$Z$1"), 0))), "")</f>
        <v/>
      </c>
      <c r="F380" s="40" t="str">
        <f aca="true">IF(C380&lt;&gt;"", SUM(INDEX(INDIRECT("'" &amp; B380 &amp; "'.$A$1:$Z$1000"), 0, MATCH("total_assembly_time_min", INDIRECT("'" &amp; B380 &amp; "'.$A$1:$Z$1"), 0)))/60, "")</f>
        <v/>
      </c>
      <c r="G380" s="33" t="str">
        <f aca="false">IF(C380&lt;&gt;"", values!$B$2, "")</f>
        <v/>
      </c>
      <c r="H380" s="33" t="str">
        <f aca="false">IF(C380&lt;&gt;"", F380*G380, "")</f>
        <v/>
      </c>
      <c r="I380" s="33" t="str">
        <f aca="false">IF(C380&lt;&gt;"", H380+E380, "")</f>
        <v/>
      </c>
      <c r="K380" s="33" t="str">
        <f aca="false">IF(C380&lt;&gt;"", L380-I380, "")</f>
        <v/>
      </c>
      <c r="L380" s="33" t="str">
        <f aca="false">IF(C380&lt;&gt;"", I380/(1-J380), "")</f>
        <v/>
      </c>
      <c r="M380" s="33" t="str">
        <f aca="false">IF(C380&lt;&gt;"", values!$A$2, "")</f>
        <v/>
      </c>
      <c r="N380" s="33" t="str">
        <f aca="false">IF(C380&lt;&gt;"", O380-L380, "")</f>
        <v/>
      </c>
      <c r="O380" s="33" t="str">
        <f aca="false">IF(C380&lt;&gt;"", L380/(1-M380), "")</f>
        <v/>
      </c>
    </row>
    <row r="381" customFormat="false" ht="12.8" hidden="false" customHeight="false" outlineLevel="0" collapsed="false">
      <c r="A381" s="1" t="s">
        <v>1716</v>
      </c>
      <c r="B381" s="31" t="s">
        <v>1717</v>
      </c>
      <c r="D381" s="32" t="str">
        <f aca="true">IF(C381&lt;&gt;"", SUM(INDEX(INDIRECT("'" &amp; B381 &amp; "'.$A$1:$Z$1000"), 0, MATCH("count", INDIRECT("'" &amp; B381 &amp; "'.$A$1:$Z$1"), 0))), "")</f>
        <v/>
      </c>
      <c r="E381" s="33" t="str">
        <f aca="true">IF(C381&lt;&gt;"", SUM(INDEX(INDIRECT("'" &amp; B381 &amp; "'.$A$1:$Z$1000"), 0, MATCH("cost", INDIRECT("'" &amp; B381 &amp; "'.$A$1:$Z$1"), 0))), "")</f>
        <v/>
      </c>
      <c r="F381" s="40" t="str">
        <f aca="true">IF(C381&lt;&gt;"", SUM(INDEX(INDIRECT("'" &amp; B381 &amp; "'.$A$1:$Z$1000"), 0, MATCH("total_assembly_time_min", INDIRECT("'" &amp; B381 &amp; "'.$A$1:$Z$1"), 0)))/60, "")</f>
        <v/>
      </c>
      <c r="G381" s="33" t="str">
        <f aca="false">IF(C381&lt;&gt;"", values!$B$2, "")</f>
        <v/>
      </c>
      <c r="H381" s="33" t="str">
        <f aca="false">IF(C381&lt;&gt;"", F381*G381, "")</f>
        <v/>
      </c>
      <c r="I381" s="33" t="str">
        <f aca="false">IF(C381&lt;&gt;"", H381+E381, "")</f>
        <v/>
      </c>
      <c r="K381" s="33" t="str">
        <f aca="false">IF(C381&lt;&gt;"", L381-I381, "")</f>
        <v/>
      </c>
      <c r="L381" s="33" t="str">
        <f aca="false">IF(C381&lt;&gt;"", I381/(1-J381), "")</f>
        <v/>
      </c>
      <c r="M381" s="33" t="str">
        <f aca="false">IF(C381&lt;&gt;"", values!$A$2, "")</f>
        <v/>
      </c>
      <c r="N381" s="33" t="str">
        <f aca="false">IF(C381&lt;&gt;"", O381-L381, "")</f>
        <v/>
      </c>
      <c r="O381" s="33" t="str">
        <f aca="false">IF(C381&lt;&gt;"", L381/(1-M381), "")</f>
        <v/>
      </c>
    </row>
    <row r="382" customFormat="false" ht="12.8" hidden="false" customHeight="false" outlineLevel="0" collapsed="false">
      <c r="A382" s="1" t="s">
        <v>1718</v>
      </c>
      <c r="B382" s="31" t="s">
        <v>1719</v>
      </c>
      <c r="D382" s="32" t="str">
        <f aca="true">IF(C382&lt;&gt;"", SUM(INDEX(INDIRECT("'" &amp; B382 &amp; "'.$A$1:$Z$1000"), 0, MATCH("count", INDIRECT("'" &amp; B382 &amp; "'.$A$1:$Z$1"), 0))), "")</f>
        <v/>
      </c>
      <c r="E382" s="33" t="str">
        <f aca="true">IF(C382&lt;&gt;"", SUM(INDEX(INDIRECT("'" &amp; B382 &amp; "'.$A$1:$Z$1000"), 0, MATCH("cost", INDIRECT("'" &amp; B382 &amp; "'.$A$1:$Z$1"), 0))), "")</f>
        <v/>
      </c>
      <c r="F382" s="40" t="str">
        <f aca="true">IF(C382&lt;&gt;"", SUM(INDEX(INDIRECT("'" &amp; B382 &amp; "'.$A$1:$Z$1000"), 0, MATCH("total_assembly_time_min", INDIRECT("'" &amp; B382 &amp; "'.$A$1:$Z$1"), 0)))/60, "")</f>
        <v/>
      </c>
      <c r="G382" s="33" t="str">
        <f aca="false">IF(C382&lt;&gt;"", values!$B$2, "")</f>
        <v/>
      </c>
      <c r="H382" s="33" t="str">
        <f aca="false">IF(C382&lt;&gt;"", F382*G382, "")</f>
        <v/>
      </c>
      <c r="I382" s="33" t="str">
        <f aca="false">IF(C382&lt;&gt;"", H382+E382, "")</f>
        <v/>
      </c>
      <c r="K382" s="33" t="str">
        <f aca="false">IF(C382&lt;&gt;"", L382-I382, "")</f>
        <v/>
      </c>
      <c r="L382" s="33" t="str">
        <f aca="false">IF(C382&lt;&gt;"", I382/(1-J382), "")</f>
        <v/>
      </c>
      <c r="M382" s="33" t="str">
        <f aca="false">IF(C382&lt;&gt;"", values!$A$2, "")</f>
        <v/>
      </c>
      <c r="N382" s="33" t="str">
        <f aca="false">IF(C382&lt;&gt;"", O382-L382, "")</f>
        <v/>
      </c>
      <c r="O382" s="33" t="str">
        <f aca="false">IF(C382&lt;&gt;"", L382/(1-M382), "")</f>
        <v/>
      </c>
    </row>
    <row r="383" customFormat="false" ht="12.8" hidden="false" customHeight="false" outlineLevel="0" collapsed="false">
      <c r="A383" s="1" t="s">
        <v>1720</v>
      </c>
      <c r="B383" s="31" t="s">
        <v>1721</v>
      </c>
      <c r="D383" s="32" t="str">
        <f aca="true">IF(C383&lt;&gt;"", SUM(INDEX(INDIRECT("'" &amp; B383 &amp; "'.$A$1:$Z$1000"), 0, MATCH("count", INDIRECT("'" &amp; B383 &amp; "'.$A$1:$Z$1"), 0))), "")</f>
        <v/>
      </c>
      <c r="E383" s="33" t="str">
        <f aca="true">IF(C383&lt;&gt;"", SUM(INDEX(INDIRECT("'" &amp; B383 &amp; "'.$A$1:$Z$1000"), 0, MATCH("cost", INDIRECT("'" &amp; B383 &amp; "'.$A$1:$Z$1"), 0))), "")</f>
        <v/>
      </c>
      <c r="F383" s="40" t="str">
        <f aca="true">IF(C383&lt;&gt;"", SUM(INDEX(INDIRECT("'" &amp; B383 &amp; "'.$A$1:$Z$1000"), 0, MATCH("total_assembly_time_min", INDIRECT("'" &amp; B383 &amp; "'.$A$1:$Z$1"), 0)))/60, "")</f>
        <v/>
      </c>
      <c r="G383" s="33" t="str">
        <f aca="false">IF(C383&lt;&gt;"", values!$B$2, "")</f>
        <v/>
      </c>
      <c r="H383" s="33" t="str">
        <f aca="false">IF(C383&lt;&gt;"", F383*G383, "")</f>
        <v/>
      </c>
      <c r="I383" s="33" t="str">
        <f aca="false">IF(C383&lt;&gt;"", H383+E383, "")</f>
        <v/>
      </c>
      <c r="K383" s="33" t="str">
        <f aca="false">IF(C383&lt;&gt;"", L383-I383, "")</f>
        <v/>
      </c>
      <c r="L383" s="33" t="str">
        <f aca="false">IF(C383&lt;&gt;"", I383/(1-J383), "")</f>
        <v/>
      </c>
      <c r="M383" s="33" t="str">
        <f aca="false">IF(C383&lt;&gt;"", values!$A$2, "")</f>
        <v/>
      </c>
      <c r="N383" s="33" t="str">
        <f aca="false">IF(C383&lt;&gt;"", O383-L383, "")</f>
        <v/>
      </c>
      <c r="O383" s="33" t="str">
        <f aca="false">IF(C383&lt;&gt;"", L383/(1-M383), "")</f>
        <v/>
      </c>
    </row>
    <row r="384" customFormat="false" ht="12.8" hidden="false" customHeight="false" outlineLevel="0" collapsed="false">
      <c r="A384" s="1" t="s">
        <v>1722</v>
      </c>
      <c r="B384" s="31" t="s">
        <v>1723</v>
      </c>
      <c r="D384" s="32" t="str">
        <f aca="true">IF(C384&lt;&gt;"", SUM(INDEX(INDIRECT("'" &amp; B384 &amp; "'.$A$1:$Z$1000"), 0, MATCH("count", INDIRECT("'" &amp; B384 &amp; "'.$A$1:$Z$1"), 0))), "")</f>
        <v/>
      </c>
      <c r="E384" s="33" t="str">
        <f aca="true">IF(C384&lt;&gt;"", SUM(INDEX(INDIRECT("'" &amp; B384 &amp; "'.$A$1:$Z$1000"), 0, MATCH("cost", INDIRECT("'" &amp; B384 &amp; "'.$A$1:$Z$1"), 0))), "")</f>
        <v/>
      </c>
      <c r="F384" s="40" t="str">
        <f aca="true">IF(C384&lt;&gt;"", SUM(INDEX(INDIRECT("'" &amp; B384 &amp; "'.$A$1:$Z$1000"), 0, MATCH("total_assembly_time_min", INDIRECT("'" &amp; B384 &amp; "'.$A$1:$Z$1"), 0)))/60, "")</f>
        <v/>
      </c>
      <c r="G384" s="33" t="str">
        <f aca="false">IF(C384&lt;&gt;"", values!$B$2, "")</f>
        <v/>
      </c>
      <c r="H384" s="33" t="str">
        <f aca="false">IF(C384&lt;&gt;"", F384*G384, "")</f>
        <v/>
      </c>
      <c r="I384" s="33" t="str">
        <f aca="false">IF(C384&lt;&gt;"", H384+E384, "")</f>
        <v/>
      </c>
      <c r="K384" s="33" t="str">
        <f aca="false">IF(C384&lt;&gt;"", L384-I384, "")</f>
        <v/>
      </c>
      <c r="L384" s="33" t="str">
        <f aca="false">IF(C384&lt;&gt;"", I384/(1-J384), "")</f>
        <v/>
      </c>
      <c r="M384" s="33" t="str">
        <f aca="false">IF(C384&lt;&gt;"", values!$A$2, "")</f>
        <v/>
      </c>
      <c r="N384" s="33" t="str">
        <f aca="false">IF(C384&lt;&gt;"", O384-L384, "")</f>
        <v/>
      </c>
      <c r="O384" s="33" t="str">
        <f aca="false">IF(C384&lt;&gt;"", L384/(1-M384), "")</f>
        <v/>
      </c>
    </row>
    <row r="385" customFormat="false" ht="12.8" hidden="false" customHeight="false" outlineLevel="0" collapsed="false">
      <c r="A385" s="1" t="s">
        <v>1724</v>
      </c>
      <c r="B385" s="31" t="s">
        <v>1725</v>
      </c>
      <c r="D385" s="32" t="str">
        <f aca="true">IF(C385&lt;&gt;"", SUM(INDEX(INDIRECT("'" &amp; B385 &amp; "'.$A$1:$Z$1000"), 0, MATCH("count", INDIRECT("'" &amp; B385 &amp; "'.$A$1:$Z$1"), 0))), "")</f>
        <v/>
      </c>
      <c r="E385" s="33" t="str">
        <f aca="true">IF(C385&lt;&gt;"", SUM(INDEX(INDIRECT("'" &amp; B385 &amp; "'.$A$1:$Z$1000"), 0, MATCH("cost", INDIRECT("'" &amp; B385 &amp; "'.$A$1:$Z$1"), 0))), "")</f>
        <v/>
      </c>
      <c r="F385" s="40" t="str">
        <f aca="true">IF(C385&lt;&gt;"", SUM(INDEX(INDIRECT("'" &amp; B385 &amp; "'.$A$1:$Z$1000"), 0, MATCH("total_assembly_time_min", INDIRECT("'" &amp; B385 &amp; "'.$A$1:$Z$1"), 0)))/60, "")</f>
        <v/>
      </c>
      <c r="G385" s="33" t="str">
        <f aca="false">IF(C385&lt;&gt;"", values!$B$2, "")</f>
        <v/>
      </c>
      <c r="H385" s="33" t="str">
        <f aca="false">IF(C385&lt;&gt;"", F385*G385, "")</f>
        <v/>
      </c>
      <c r="I385" s="33" t="str">
        <f aca="false">IF(C385&lt;&gt;"", H385+E385, "")</f>
        <v/>
      </c>
      <c r="K385" s="33" t="str">
        <f aca="false">IF(C385&lt;&gt;"", L385-I385, "")</f>
        <v/>
      </c>
      <c r="L385" s="33" t="str">
        <f aca="false">IF(C385&lt;&gt;"", I385/(1-J385), "")</f>
        <v/>
      </c>
      <c r="M385" s="33" t="str">
        <f aca="false">IF(C385&lt;&gt;"", values!$A$2, "")</f>
        <v/>
      </c>
      <c r="N385" s="33" t="str">
        <f aca="false">IF(C385&lt;&gt;"", O385-L385, "")</f>
        <v/>
      </c>
      <c r="O385" s="33" t="str">
        <f aca="false">IF(C385&lt;&gt;"", L385/(1-M385), "")</f>
        <v/>
      </c>
    </row>
    <row r="386" customFormat="false" ht="12.8" hidden="false" customHeight="false" outlineLevel="0" collapsed="false">
      <c r="A386" s="1" t="s">
        <v>1726</v>
      </c>
      <c r="B386" s="31" t="s">
        <v>1727</v>
      </c>
      <c r="D386" s="32" t="str">
        <f aca="true">IF(C386&lt;&gt;"", SUM(INDEX(INDIRECT("'" &amp; B386 &amp; "'.$A$1:$Z$1000"), 0, MATCH("count", INDIRECT("'" &amp; B386 &amp; "'.$A$1:$Z$1"), 0))), "")</f>
        <v/>
      </c>
      <c r="E386" s="33" t="str">
        <f aca="true">IF(C386&lt;&gt;"", SUM(INDEX(INDIRECT("'" &amp; B386 &amp; "'.$A$1:$Z$1000"), 0, MATCH("cost", INDIRECT("'" &amp; B386 &amp; "'.$A$1:$Z$1"), 0))), "")</f>
        <v/>
      </c>
      <c r="F386" s="40" t="str">
        <f aca="true">IF(C386&lt;&gt;"", SUM(INDEX(INDIRECT("'" &amp; B386 &amp; "'.$A$1:$Z$1000"), 0, MATCH("total_assembly_time_min", INDIRECT("'" &amp; B386 &amp; "'.$A$1:$Z$1"), 0)))/60, "")</f>
        <v/>
      </c>
      <c r="G386" s="33" t="str">
        <f aca="false">IF(C386&lt;&gt;"", values!$B$2, "")</f>
        <v/>
      </c>
      <c r="H386" s="33" t="str">
        <f aca="false">IF(C386&lt;&gt;"", F386*G386, "")</f>
        <v/>
      </c>
      <c r="I386" s="33" t="str">
        <f aca="false">IF(C386&lt;&gt;"", H386+E386, "")</f>
        <v/>
      </c>
      <c r="K386" s="33" t="str">
        <f aca="false">IF(C386&lt;&gt;"", L386-I386, "")</f>
        <v/>
      </c>
      <c r="L386" s="33" t="str">
        <f aca="false">IF(C386&lt;&gt;"", I386/(1-J386), "")</f>
        <v/>
      </c>
      <c r="M386" s="33" t="str">
        <f aca="false">IF(C386&lt;&gt;"", values!$A$2, "")</f>
        <v/>
      </c>
      <c r="N386" s="33" t="str">
        <f aca="false">IF(C386&lt;&gt;"", O386-L386, "")</f>
        <v/>
      </c>
      <c r="O386" s="33" t="str">
        <f aca="false">IF(C386&lt;&gt;"", L386/(1-M386), "")</f>
        <v/>
      </c>
    </row>
    <row r="387" customFormat="false" ht="12.8" hidden="false" customHeight="false" outlineLevel="0" collapsed="false">
      <c r="A387" s="1" t="s">
        <v>1728</v>
      </c>
      <c r="B387" s="31" t="s">
        <v>1729</v>
      </c>
      <c r="D387" s="32" t="str">
        <f aca="true">IF(C387&lt;&gt;"", SUM(INDEX(INDIRECT("'" &amp; B387 &amp; "'.$A$1:$Z$1000"), 0, MATCH("count", INDIRECT("'" &amp; B387 &amp; "'.$A$1:$Z$1"), 0))), "")</f>
        <v/>
      </c>
      <c r="E387" s="33" t="str">
        <f aca="true">IF(C387&lt;&gt;"", SUM(INDEX(INDIRECT("'" &amp; B387 &amp; "'.$A$1:$Z$1000"), 0, MATCH("cost", INDIRECT("'" &amp; B387 &amp; "'.$A$1:$Z$1"), 0))), "")</f>
        <v/>
      </c>
      <c r="F387" s="40" t="str">
        <f aca="true">IF(C387&lt;&gt;"", SUM(INDEX(INDIRECT("'" &amp; B387 &amp; "'.$A$1:$Z$1000"), 0, MATCH("total_assembly_time_min", INDIRECT("'" &amp; B387 &amp; "'.$A$1:$Z$1"), 0)))/60, "")</f>
        <v/>
      </c>
      <c r="G387" s="33" t="str">
        <f aca="false">IF(C387&lt;&gt;"", values!$B$2, "")</f>
        <v/>
      </c>
      <c r="H387" s="33" t="str">
        <f aca="false">IF(C387&lt;&gt;"", F387*G387, "")</f>
        <v/>
      </c>
      <c r="I387" s="33" t="str">
        <f aca="false">IF(C387&lt;&gt;"", H387+E387, "")</f>
        <v/>
      </c>
      <c r="K387" s="33" t="str">
        <f aca="false">IF(C387&lt;&gt;"", L387-I387, "")</f>
        <v/>
      </c>
      <c r="L387" s="33" t="str">
        <f aca="false">IF(C387&lt;&gt;"", I387/(1-J387), "")</f>
        <v/>
      </c>
      <c r="M387" s="33" t="str">
        <f aca="false">IF(C387&lt;&gt;"", values!$A$2, "")</f>
        <v/>
      </c>
      <c r="N387" s="33" t="str">
        <f aca="false">IF(C387&lt;&gt;"", O387-L387, "")</f>
        <v/>
      </c>
      <c r="O387" s="33" t="str">
        <f aca="false">IF(C387&lt;&gt;"", L387/(1-M387), "")</f>
        <v/>
      </c>
    </row>
    <row r="388" customFormat="false" ht="12.8" hidden="false" customHeight="false" outlineLevel="0" collapsed="false">
      <c r="A388" s="1" t="s">
        <v>1730</v>
      </c>
      <c r="B388" s="31" t="s">
        <v>1731</v>
      </c>
      <c r="D388" s="32" t="str">
        <f aca="true">IF(C388&lt;&gt;"", SUM(INDEX(INDIRECT("'" &amp; B388 &amp; "'.$A$1:$Z$1000"), 0, MATCH("count", INDIRECT("'" &amp; B388 &amp; "'.$A$1:$Z$1"), 0))), "")</f>
        <v/>
      </c>
      <c r="E388" s="33" t="str">
        <f aca="true">IF(C388&lt;&gt;"", SUM(INDEX(INDIRECT("'" &amp; B388 &amp; "'.$A$1:$Z$1000"), 0, MATCH("cost", INDIRECT("'" &amp; B388 &amp; "'.$A$1:$Z$1"), 0))), "")</f>
        <v/>
      </c>
      <c r="F388" s="40" t="str">
        <f aca="true">IF(C388&lt;&gt;"", SUM(INDEX(INDIRECT("'" &amp; B388 &amp; "'.$A$1:$Z$1000"), 0, MATCH("total_assembly_time_min", INDIRECT("'" &amp; B388 &amp; "'.$A$1:$Z$1"), 0)))/60, "")</f>
        <v/>
      </c>
      <c r="G388" s="33" t="str">
        <f aca="false">IF(C388&lt;&gt;"", values!$B$2, "")</f>
        <v/>
      </c>
      <c r="H388" s="33" t="str">
        <f aca="false">IF(C388&lt;&gt;"", F388*G388, "")</f>
        <v/>
      </c>
      <c r="I388" s="33" t="str">
        <f aca="false">IF(C388&lt;&gt;"", H388+E388, "")</f>
        <v/>
      </c>
      <c r="K388" s="33" t="str">
        <f aca="false">IF(C388&lt;&gt;"", L388-I388, "")</f>
        <v/>
      </c>
      <c r="L388" s="33" t="str">
        <f aca="false">IF(C388&lt;&gt;"", I388/(1-J388), "")</f>
        <v/>
      </c>
      <c r="M388" s="33" t="str">
        <f aca="false">IF(C388&lt;&gt;"", values!$A$2, "")</f>
        <v/>
      </c>
      <c r="N388" s="33" t="str">
        <f aca="false">IF(C388&lt;&gt;"", O388-L388, "")</f>
        <v/>
      </c>
      <c r="O388" s="33" t="str">
        <f aca="false">IF(C388&lt;&gt;"", L388/(1-M388), "")</f>
        <v/>
      </c>
    </row>
    <row r="389" customFormat="false" ht="12.8" hidden="false" customHeight="false" outlineLevel="0" collapsed="false">
      <c r="A389" s="1" t="s">
        <v>1732</v>
      </c>
      <c r="B389" s="31" t="s">
        <v>1733</v>
      </c>
      <c r="D389" s="32" t="str">
        <f aca="true">IF(C389&lt;&gt;"", SUM(INDEX(INDIRECT("'" &amp; B389 &amp; "'.$A$1:$Z$1000"), 0, MATCH("count", INDIRECT("'" &amp; B389 &amp; "'.$A$1:$Z$1"), 0))), "")</f>
        <v/>
      </c>
      <c r="E389" s="33" t="str">
        <f aca="true">IF(C389&lt;&gt;"", SUM(INDEX(INDIRECT("'" &amp; B389 &amp; "'.$A$1:$Z$1000"), 0, MATCH("cost", INDIRECT("'" &amp; B389 &amp; "'.$A$1:$Z$1"), 0))), "")</f>
        <v/>
      </c>
      <c r="F389" s="40" t="str">
        <f aca="true">IF(C389&lt;&gt;"", SUM(INDEX(INDIRECT("'" &amp; B389 &amp; "'.$A$1:$Z$1000"), 0, MATCH("total_assembly_time_min", INDIRECT("'" &amp; B389 &amp; "'.$A$1:$Z$1"), 0)))/60, "")</f>
        <v/>
      </c>
      <c r="G389" s="33" t="str">
        <f aca="false">IF(C389&lt;&gt;"", values!$B$2, "")</f>
        <v/>
      </c>
      <c r="H389" s="33" t="str">
        <f aca="false">IF(C389&lt;&gt;"", F389*G389, "")</f>
        <v/>
      </c>
      <c r="I389" s="33" t="str">
        <f aca="false">IF(C389&lt;&gt;"", H389+E389, "")</f>
        <v/>
      </c>
      <c r="K389" s="33" t="str">
        <f aca="false">IF(C389&lt;&gt;"", L389-I389, "")</f>
        <v/>
      </c>
      <c r="L389" s="33" t="str">
        <f aca="false">IF(C389&lt;&gt;"", I389/(1-J389), "")</f>
        <v/>
      </c>
      <c r="M389" s="33" t="str">
        <f aca="false">IF(C389&lt;&gt;"", values!$A$2, "")</f>
        <v/>
      </c>
      <c r="N389" s="33" t="str">
        <f aca="false">IF(C389&lt;&gt;"", O389-L389, "")</f>
        <v/>
      </c>
      <c r="O389" s="33" t="str">
        <f aca="false">IF(C389&lt;&gt;"", L389/(1-M389), "")</f>
        <v/>
      </c>
    </row>
    <row r="390" customFormat="false" ht="12.8" hidden="false" customHeight="false" outlineLevel="0" collapsed="false">
      <c r="A390" s="1" t="s">
        <v>1734</v>
      </c>
      <c r="B390" s="31" t="s">
        <v>1735</v>
      </c>
      <c r="D390" s="32" t="str">
        <f aca="true">IF(C390&lt;&gt;"", SUM(INDEX(INDIRECT("'" &amp; B390 &amp; "'.$A$1:$Z$1000"), 0, MATCH("count", INDIRECT("'" &amp; B390 &amp; "'.$A$1:$Z$1"), 0))), "")</f>
        <v/>
      </c>
      <c r="E390" s="33" t="str">
        <f aca="true">IF(C390&lt;&gt;"", SUM(INDEX(INDIRECT("'" &amp; B390 &amp; "'.$A$1:$Z$1000"), 0, MATCH("cost", INDIRECT("'" &amp; B390 &amp; "'.$A$1:$Z$1"), 0))), "")</f>
        <v/>
      </c>
      <c r="F390" s="40" t="str">
        <f aca="true">IF(C390&lt;&gt;"", SUM(INDEX(INDIRECT("'" &amp; B390 &amp; "'.$A$1:$Z$1000"), 0, MATCH("total_assembly_time_min", INDIRECT("'" &amp; B390 &amp; "'.$A$1:$Z$1"), 0)))/60, "")</f>
        <v/>
      </c>
      <c r="G390" s="33" t="str">
        <f aca="false">IF(C390&lt;&gt;"", values!$B$2, "")</f>
        <v/>
      </c>
      <c r="H390" s="33" t="str">
        <f aca="false">IF(C390&lt;&gt;"", F390*G390, "")</f>
        <v/>
      </c>
      <c r="I390" s="33" t="str">
        <f aca="false">IF(C390&lt;&gt;"", H390+E390, "")</f>
        <v/>
      </c>
      <c r="K390" s="33" t="str">
        <f aca="false">IF(C390&lt;&gt;"", L390-I390, "")</f>
        <v/>
      </c>
      <c r="L390" s="33" t="str">
        <f aca="false">IF(C390&lt;&gt;"", I390/(1-J390), "")</f>
        <v/>
      </c>
      <c r="M390" s="33" t="str">
        <f aca="false">IF(C390&lt;&gt;"", values!$A$2, "")</f>
        <v/>
      </c>
      <c r="N390" s="33" t="str">
        <f aca="false">IF(C390&lt;&gt;"", O390-L390, "")</f>
        <v/>
      </c>
      <c r="O390" s="33" t="str">
        <f aca="false">IF(C390&lt;&gt;"", L390/(1-M390), "")</f>
        <v/>
      </c>
    </row>
    <row r="391" customFormat="false" ht="12.8" hidden="false" customHeight="false" outlineLevel="0" collapsed="false">
      <c r="A391" s="1" t="s">
        <v>1736</v>
      </c>
      <c r="B391" s="31" t="s">
        <v>1737</v>
      </c>
      <c r="D391" s="32" t="str">
        <f aca="true">IF(C391&lt;&gt;"", SUM(INDEX(INDIRECT("'" &amp; B391 &amp; "'.$A$1:$Z$1000"), 0, MATCH("count", INDIRECT("'" &amp; B391 &amp; "'.$A$1:$Z$1"), 0))), "")</f>
        <v/>
      </c>
      <c r="E391" s="33" t="str">
        <f aca="true">IF(C391&lt;&gt;"", SUM(INDEX(INDIRECT("'" &amp; B391 &amp; "'.$A$1:$Z$1000"), 0, MATCH("cost", INDIRECT("'" &amp; B391 &amp; "'.$A$1:$Z$1"), 0))), "")</f>
        <v/>
      </c>
      <c r="F391" s="40" t="str">
        <f aca="true">IF(C391&lt;&gt;"", SUM(INDEX(INDIRECT("'" &amp; B391 &amp; "'.$A$1:$Z$1000"), 0, MATCH("total_assembly_time_min", INDIRECT("'" &amp; B391 &amp; "'.$A$1:$Z$1"), 0)))/60, "")</f>
        <v/>
      </c>
      <c r="G391" s="33" t="str">
        <f aca="false">IF(C391&lt;&gt;"", values!$B$2, "")</f>
        <v/>
      </c>
      <c r="H391" s="33" t="str">
        <f aca="false">IF(C391&lt;&gt;"", F391*G391, "")</f>
        <v/>
      </c>
      <c r="I391" s="33" t="str">
        <f aca="false">IF(C391&lt;&gt;"", H391+E391, "")</f>
        <v/>
      </c>
      <c r="K391" s="33" t="str">
        <f aca="false">IF(C391&lt;&gt;"", L391-I391, "")</f>
        <v/>
      </c>
      <c r="L391" s="33" t="str">
        <f aca="false">IF(C391&lt;&gt;"", I391/(1-J391), "")</f>
        <v/>
      </c>
      <c r="M391" s="33" t="str">
        <f aca="false">IF(C391&lt;&gt;"", values!$A$2, "")</f>
        <v/>
      </c>
      <c r="N391" s="33" t="str">
        <f aca="false">IF(C391&lt;&gt;"", O391-L391, "")</f>
        <v/>
      </c>
      <c r="O391" s="33" t="str">
        <f aca="false">IF(C391&lt;&gt;"", L391/(1-M391), "")</f>
        <v/>
      </c>
    </row>
    <row r="392" customFormat="false" ht="12.8" hidden="false" customHeight="false" outlineLevel="0" collapsed="false">
      <c r="A392" s="1" t="s">
        <v>1738</v>
      </c>
      <c r="B392" s="31" t="s">
        <v>1739</v>
      </c>
      <c r="D392" s="32" t="str">
        <f aca="true">IF(C392&lt;&gt;"", SUM(INDEX(INDIRECT("'" &amp; B392 &amp; "'.$A$1:$Z$1000"), 0, MATCH("count", INDIRECT("'" &amp; B392 &amp; "'.$A$1:$Z$1"), 0))), "")</f>
        <v/>
      </c>
      <c r="E392" s="33" t="str">
        <f aca="true">IF(C392&lt;&gt;"", SUM(INDEX(INDIRECT("'" &amp; B392 &amp; "'.$A$1:$Z$1000"), 0, MATCH("cost", INDIRECT("'" &amp; B392 &amp; "'.$A$1:$Z$1"), 0))), "")</f>
        <v/>
      </c>
      <c r="F392" s="40" t="str">
        <f aca="true">IF(C392&lt;&gt;"", SUM(INDEX(INDIRECT("'" &amp; B392 &amp; "'.$A$1:$Z$1000"), 0, MATCH("total_assembly_time_min", INDIRECT("'" &amp; B392 &amp; "'.$A$1:$Z$1"), 0)))/60, "")</f>
        <v/>
      </c>
      <c r="G392" s="33" t="str">
        <f aca="false">IF(C392&lt;&gt;"", values!$B$2, "")</f>
        <v/>
      </c>
      <c r="H392" s="33" t="str">
        <f aca="false">IF(C392&lt;&gt;"", F392*G392, "")</f>
        <v/>
      </c>
      <c r="I392" s="33" t="str">
        <f aca="false">IF(C392&lt;&gt;"", H392+E392, "")</f>
        <v/>
      </c>
      <c r="K392" s="33" t="str">
        <f aca="false">IF(C392&lt;&gt;"", L392-I392, "")</f>
        <v/>
      </c>
      <c r="L392" s="33" t="str">
        <f aca="false">IF(C392&lt;&gt;"", I392/(1-J392), "")</f>
        <v/>
      </c>
      <c r="M392" s="33" t="str">
        <f aca="false">IF(C392&lt;&gt;"", values!$A$2, "")</f>
        <v/>
      </c>
      <c r="N392" s="33" t="str">
        <f aca="false">IF(C392&lt;&gt;"", O392-L392, "")</f>
        <v/>
      </c>
      <c r="O392" s="33" t="str">
        <f aca="false">IF(C392&lt;&gt;"", L392/(1-M392), "")</f>
        <v/>
      </c>
    </row>
    <row r="393" customFormat="false" ht="12.8" hidden="false" customHeight="false" outlineLevel="0" collapsed="false">
      <c r="A393" s="1" t="s">
        <v>1740</v>
      </c>
      <c r="B393" s="31" t="s">
        <v>1741</v>
      </c>
      <c r="D393" s="32" t="str">
        <f aca="true">IF(C393&lt;&gt;"", SUM(INDEX(INDIRECT("'" &amp; B393 &amp; "'.$A$1:$Z$1000"), 0, MATCH("count", INDIRECT("'" &amp; B393 &amp; "'.$A$1:$Z$1"), 0))), "")</f>
        <v/>
      </c>
      <c r="E393" s="33" t="str">
        <f aca="true">IF(C393&lt;&gt;"", SUM(INDEX(INDIRECT("'" &amp; B393 &amp; "'.$A$1:$Z$1000"), 0, MATCH("cost", INDIRECT("'" &amp; B393 &amp; "'.$A$1:$Z$1"), 0))), "")</f>
        <v/>
      </c>
      <c r="F393" s="40" t="str">
        <f aca="true">IF(C393&lt;&gt;"", SUM(INDEX(INDIRECT("'" &amp; B393 &amp; "'.$A$1:$Z$1000"), 0, MATCH("total_assembly_time_min", INDIRECT("'" &amp; B393 &amp; "'.$A$1:$Z$1"), 0)))/60, "")</f>
        <v/>
      </c>
      <c r="G393" s="33" t="str">
        <f aca="false">IF(C393&lt;&gt;"", values!$B$2, "")</f>
        <v/>
      </c>
      <c r="H393" s="33" t="str">
        <f aca="false">IF(C393&lt;&gt;"", F393*G393, "")</f>
        <v/>
      </c>
      <c r="I393" s="33" t="str">
        <f aca="false">IF(C393&lt;&gt;"", H393+E393, "")</f>
        <v/>
      </c>
      <c r="K393" s="33" t="str">
        <f aca="false">IF(C393&lt;&gt;"", L393-I393, "")</f>
        <v/>
      </c>
      <c r="L393" s="33" t="str">
        <f aca="false">IF(C393&lt;&gt;"", I393/(1-J393), "")</f>
        <v/>
      </c>
      <c r="M393" s="33" t="str">
        <f aca="false">IF(C393&lt;&gt;"", values!$A$2, "")</f>
        <v/>
      </c>
      <c r="N393" s="33" t="str">
        <f aca="false">IF(C393&lt;&gt;"", O393-L393, "")</f>
        <v/>
      </c>
      <c r="O393" s="33" t="str">
        <f aca="false">IF(C393&lt;&gt;"", L393/(1-M393), "")</f>
        <v/>
      </c>
    </row>
    <row r="394" customFormat="false" ht="12.8" hidden="false" customHeight="false" outlineLevel="0" collapsed="false">
      <c r="A394" s="1" t="s">
        <v>1742</v>
      </c>
      <c r="B394" s="31" t="s">
        <v>1743</v>
      </c>
      <c r="D394" s="32" t="str">
        <f aca="true">IF(C394&lt;&gt;"", SUM(INDEX(INDIRECT("'" &amp; B394 &amp; "'.$A$1:$Z$1000"), 0, MATCH("count", INDIRECT("'" &amp; B394 &amp; "'.$A$1:$Z$1"), 0))), "")</f>
        <v/>
      </c>
      <c r="E394" s="33" t="str">
        <f aca="true">IF(C394&lt;&gt;"", SUM(INDEX(INDIRECT("'" &amp; B394 &amp; "'.$A$1:$Z$1000"), 0, MATCH("cost", INDIRECT("'" &amp; B394 &amp; "'.$A$1:$Z$1"), 0))), "")</f>
        <v/>
      </c>
      <c r="F394" s="40" t="str">
        <f aca="true">IF(C394&lt;&gt;"", SUM(INDEX(INDIRECT("'" &amp; B394 &amp; "'.$A$1:$Z$1000"), 0, MATCH("total_assembly_time_min", INDIRECT("'" &amp; B394 &amp; "'.$A$1:$Z$1"), 0)))/60, "")</f>
        <v/>
      </c>
      <c r="G394" s="33" t="str">
        <f aca="false">IF(C394&lt;&gt;"", values!$B$2, "")</f>
        <v/>
      </c>
      <c r="H394" s="33" t="str">
        <f aca="false">IF(C394&lt;&gt;"", F394*G394, "")</f>
        <v/>
      </c>
      <c r="I394" s="33" t="str">
        <f aca="false">IF(C394&lt;&gt;"", H394+E394, "")</f>
        <v/>
      </c>
      <c r="K394" s="33" t="str">
        <f aca="false">IF(C394&lt;&gt;"", L394-I394, "")</f>
        <v/>
      </c>
      <c r="L394" s="33" t="str">
        <f aca="false">IF(C394&lt;&gt;"", I394/(1-J394), "")</f>
        <v/>
      </c>
      <c r="M394" s="33" t="str">
        <f aca="false">IF(C394&lt;&gt;"", values!$A$2, "")</f>
        <v/>
      </c>
      <c r="N394" s="33" t="str">
        <f aca="false">IF(C394&lt;&gt;"", O394-L394, "")</f>
        <v/>
      </c>
      <c r="O394" s="33" t="str">
        <f aca="false">IF(C394&lt;&gt;"", L394/(1-M394), "")</f>
        <v/>
      </c>
    </row>
    <row r="395" customFormat="false" ht="12.8" hidden="false" customHeight="false" outlineLevel="0" collapsed="false">
      <c r="A395" s="1" t="s">
        <v>1744</v>
      </c>
      <c r="B395" s="31" t="s">
        <v>1745</v>
      </c>
      <c r="D395" s="32" t="str">
        <f aca="true">IF(C395&lt;&gt;"", SUM(INDEX(INDIRECT("'" &amp; B395 &amp; "'.$A$1:$Z$1000"), 0, MATCH("count", INDIRECT("'" &amp; B395 &amp; "'.$A$1:$Z$1"), 0))), "")</f>
        <v/>
      </c>
      <c r="E395" s="33" t="str">
        <f aca="true">IF(C395&lt;&gt;"", SUM(INDEX(INDIRECT("'" &amp; B395 &amp; "'.$A$1:$Z$1000"), 0, MATCH("cost", INDIRECT("'" &amp; B395 &amp; "'.$A$1:$Z$1"), 0))), "")</f>
        <v/>
      </c>
      <c r="F395" s="40" t="str">
        <f aca="true">IF(C395&lt;&gt;"", SUM(INDEX(INDIRECT("'" &amp; B395 &amp; "'.$A$1:$Z$1000"), 0, MATCH("total_assembly_time_min", INDIRECT("'" &amp; B395 &amp; "'.$A$1:$Z$1"), 0)))/60, "")</f>
        <v/>
      </c>
      <c r="G395" s="33" t="str">
        <f aca="false">IF(C395&lt;&gt;"", values!$B$2, "")</f>
        <v/>
      </c>
      <c r="H395" s="33" t="str">
        <f aca="false">IF(C395&lt;&gt;"", F395*G395, "")</f>
        <v/>
      </c>
      <c r="I395" s="33" t="str">
        <f aca="false">IF(C395&lt;&gt;"", H395+E395, "")</f>
        <v/>
      </c>
      <c r="K395" s="33" t="str">
        <f aca="false">IF(C395&lt;&gt;"", L395-I395, "")</f>
        <v/>
      </c>
      <c r="L395" s="33" t="str">
        <f aca="false">IF(C395&lt;&gt;"", I395/(1-J395), "")</f>
        <v/>
      </c>
      <c r="M395" s="33" t="str">
        <f aca="false">IF(C395&lt;&gt;"", values!$A$2, "")</f>
        <v/>
      </c>
      <c r="N395" s="33" t="str">
        <f aca="false">IF(C395&lt;&gt;"", O395-L395, "")</f>
        <v/>
      </c>
      <c r="O395" s="33" t="str">
        <f aca="false">IF(C395&lt;&gt;"", L395/(1-M395), "")</f>
        <v/>
      </c>
    </row>
    <row r="396" customFormat="false" ht="12.8" hidden="false" customHeight="false" outlineLevel="0" collapsed="false">
      <c r="A396" s="1" t="s">
        <v>1746</v>
      </c>
      <c r="B396" s="31" t="s">
        <v>1747</v>
      </c>
      <c r="D396" s="32" t="str">
        <f aca="true">IF(C396&lt;&gt;"", SUM(INDEX(INDIRECT("'" &amp; B396 &amp; "'.$A$1:$Z$1000"), 0, MATCH("count", INDIRECT("'" &amp; B396 &amp; "'.$A$1:$Z$1"), 0))), "")</f>
        <v/>
      </c>
      <c r="E396" s="33" t="str">
        <f aca="true">IF(C396&lt;&gt;"", SUM(INDEX(INDIRECT("'" &amp; B396 &amp; "'.$A$1:$Z$1000"), 0, MATCH("cost", INDIRECT("'" &amp; B396 &amp; "'.$A$1:$Z$1"), 0))), "")</f>
        <v/>
      </c>
      <c r="F396" s="40" t="str">
        <f aca="true">IF(C396&lt;&gt;"", SUM(INDEX(INDIRECT("'" &amp; B396 &amp; "'.$A$1:$Z$1000"), 0, MATCH("total_assembly_time_min", INDIRECT("'" &amp; B396 &amp; "'.$A$1:$Z$1"), 0)))/60, "")</f>
        <v/>
      </c>
      <c r="G396" s="33" t="str">
        <f aca="false">IF(C396&lt;&gt;"", values!$B$2, "")</f>
        <v/>
      </c>
      <c r="H396" s="33" t="str">
        <f aca="false">IF(C396&lt;&gt;"", F396*G396, "")</f>
        <v/>
      </c>
      <c r="I396" s="33" t="str">
        <f aca="false">IF(C396&lt;&gt;"", H396+E396, "")</f>
        <v/>
      </c>
      <c r="K396" s="33" t="str">
        <f aca="false">IF(C396&lt;&gt;"", L396-I396, "")</f>
        <v/>
      </c>
      <c r="L396" s="33" t="str">
        <f aca="false">IF(C396&lt;&gt;"", I396/(1-J396), "")</f>
        <v/>
      </c>
      <c r="M396" s="33" t="str">
        <f aca="false">IF(C396&lt;&gt;"", values!$A$2, "")</f>
        <v/>
      </c>
      <c r="N396" s="33" t="str">
        <f aca="false">IF(C396&lt;&gt;"", O396-L396, "")</f>
        <v/>
      </c>
      <c r="O396" s="33" t="str">
        <f aca="false">IF(C396&lt;&gt;"", L396/(1-M396), "")</f>
        <v/>
      </c>
    </row>
    <row r="397" customFormat="false" ht="12.8" hidden="false" customHeight="false" outlineLevel="0" collapsed="false">
      <c r="A397" s="1" t="s">
        <v>1748</v>
      </c>
      <c r="B397" s="31" t="s">
        <v>1749</v>
      </c>
      <c r="D397" s="32" t="str">
        <f aca="true">IF(C397&lt;&gt;"", SUM(INDEX(INDIRECT("'" &amp; B397 &amp; "'.$A$1:$Z$1000"), 0, MATCH("count", INDIRECT("'" &amp; B397 &amp; "'.$A$1:$Z$1"), 0))), "")</f>
        <v/>
      </c>
      <c r="E397" s="33" t="str">
        <f aca="true">IF(C397&lt;&gt;"", SUM(INDEX(INDIRECT("'" &amp; B397 &amp; "'.$A$1:$Z$1000"), 0, MATCH("cost", INDIRECT("'" &amp; B397 &amp; "'.$A$1:$Z$1"), 0))), "")</f>
        <v/>
      </c>
      <c r="F397" s="40" t="str">
        <f aca="true">IF(C397&lt;&gt;"", SUM(INDEX(INDIRECT("'" &amp; B397 &amp; "'.$A$1:$Z$1000"), 0, MATCH("total_assembly_time_min", INDIRECT("'" &amp; B397 &amp; "'.$A$1:$Z$1"), 0)))/60, "")</f>
        <v/>
      </c>
      <c r="G397" s="33" t="str">
        <f aca="false">IF(C397&lt;&gt;"", values!$B$2, "")</f>
        <v/>
      </c>
      <c r="H397" s="33" t="str">
        <f aca="false">IF(C397&lt;&gt;"", F397*G397, "")</f>
        <v/>
      </c>
      <c r="I397" s="33" t="str">
        <f aca="false">IF(C397&lt;&gt;"", H397+E397, "")</f>
        <v/>
      </c>
      <c r="K397" s="33" t="str">
        <f aca="false">IF(C397&lt;&gt;"", L397-I397, "")</f>
        <v/>
      </c>
      <c r="L397" s="33" t="str">
        <f aca="false">IF(C397&lt;&gt;"", I397/(1-J397), "")</f>
        <v/>
      </c>
      <c r="M397" s="33" t="str">
        <f aca="false">IF(C397&lt;&gt;"", values!$A$2, "")</f>
        <v/>
      </c>
      <c r="N397" s="33" t="str">
        <f aca="false">IF(C397&lt;&gt;"", O397-L397, "")</f>
        <v/>
      </c>
      <c r="O397" s="33" t="str">
        <f aca="false">IF(C397&lt;&gt;"", L397/(1-M397), "")</f>
        <v/>
      </c>
    </row>
    <row r="398" customFormat="false" ht="12.8" hidden="false" customHeight="false" outlineLevel="0" collapsed="false">
      <c r="A398" s="1" t="s">
        <v>1750</v>
      </c>
      <c r="B398" s="31" t="s">
        <v>1751</v>
      </c>
      <c r="D398" s="32" t="str">
        <f aca="true">IF(C398&lt;&gt;"", SUM(INDEX(INDIRECT("'" &amp; B398 &amp; "'.$A$1:$Z$1000"), 0, MATCH("count", INDIRECT("'" &amp; B398 &amp; "'.$A$1:$Z$1"), 0))), "")</f>
        <v/>
      </c>
      <c r="E398" s="33" t="str">
        <f aca="true">IF(C398&lt;&gt;"", SUM(INDEX(INDIRECT("'" &amp; B398 &amp; "'.$A$1:$Z$1000"), 0, MATCH("cost", INDIRECT("'" &amp; B398 &amp; "'.$A$1:$Z$1"), 0))), "")</f>
        <v/>
      </c>
      <c r="F398" s="40" t="str">
        <f aca="true">IF(C398&lt;&gt;"", SUM(INDEX(INDIRECT("'" &amp; B398 &amp; "'.$A$1:$Z$1000"), 0, MATCH("total_assembly_time_min", INDIRECT("'" &amp; B398 &amp; "'.$A$1:$Z$1"), 0)))/60, "")</f>
        <v/>
      </c>
      <c r="G398" s="33" t="str">
        <f aca="false">IF(C398&lt;&gt;"", values!$B$2, "")</f>
        <v/>
      </c>
      <c r="H398" s="33" t="str">
        <f aca="false">IF(C398&lt;&gt;"", F398*G398, "")</f>
        <v/>
      </c>
      <c r="I398" s="33" t="str">
        <f aca="false">IF(C398&lt;&gt;"", H398+E398, "")</f>
        <v/>
      </c>
      <c r="K398" s="33" t="str">
        <f aca="false">IF(C398&lt;&gt;"", L398-I398, "")</f>
        <v/>
      </c>
      <c r="L398" s="33" t="str">
        <f aca="false">IF(C398&lt;&gt;"", I398/(1-J398), "")</f>
        <v/>
      </c>
      <c r="M398" s="33" t="str">
        <f aca="false">IF(C398&lt;&gt;"", values!$A$2, "")</f>
        <v/>
      </c>
      <c r="N398" s="33" t="str">
        <f aca="false">IF(C398&lt;&gt;"", O398-L398, "")</f>
        <v/>
      </c>
      <c r="O398" s="33" t="str">
        <f aca="false">IF(C398&lt;&gt;"", L398/(1-M398), "")</f>
        <v/>
      </c>
    </row>
    <row r="399" customFormat="false" ht="12.8" hidden="false" customHeight="false" outlineLevel="0" collapsed="false">
      <c r="A399" s="1" t="s">
        <v>1752</v>
      </c>
      <c r="B399" s="31" t="s">
        <v>1753</v>
      </c>
      <c r="D399" s="32" t="str">
        <f aca="true">IF(C399&lt;&gt;"", SUM(INDEX(INDIRECT("'" &amp; B399 &amp; "'.$A$1:$Z$1000"), 0, MATCH("count", INDIRECT("'" &amp; B399 &amp; "'.$A$1:$Z$1"), 0))), "")</f>
        <v/>
      </c>
      <c r="E399" s="33" t="str">
        <f aca="true">IF(C399&lt;&gt;"", SUM(INDEX(INDIRECT("'" &amp; B399 &amp; "'.$A$1:$Z$1000"), 0, MATCH("cost", INDIRECT("'" &amp; B399 &amp; "'.$A$1:$Z$1"), 0))), "")</f>
        <v/>
      </c>
      <c r="F399" s="40" t="str">
        <f aca="true">IF(C399&lt;&gt;"", SUM(INDEX(INDIRECT("'" &amp; B399 &amp; "'.$A$1:$Z$1000"), 0, MATCH("total_assembly_time_min", INDIRECT("'" &amp; B399 &amp; "'.$A$1:$Z$1"), 0)))/60, "")</f>
        <v/>
      </c>
      <c r="G399" s="33" t="str">
        <f aca="false">IF(C399&lt;&gt;"", values!$B$2, "")</f>
        <v/>
      </c>
      <c r="H399" s="33" t="str">
        <f aca="false">IF(C399&lt;&gt;"", F399*G399, "")</f>
        <v/>
      </c>
      <c r="I399" s="33" t="str">
        <f aca="false">IF(C399&lt;&gt;"", H399+E399, "")</f>
        <v/>
      </c>
      <c r="K399" s="33" t="str">
        <f aca="false">IF(C399&lt;&gt;"", L399-I399, "")</f>
        <v/>
      </c>
      <c r="L399" s="33" t="str">
        <f aca="false">IF(C399&lt;&gt;"", I399/(1-J399), "")</f>
        <v/>
      </c>
      <c r="M399" s="33" t="str">
        <f aca="false">IF(C399&lt;&gt;"", values!$A$2, "")</f>
        <v/>
      </c>
      <c r="N399" s="33" t="str">
        <f aca="false">IF(C399&lt;&gt;"", O399-L399, "")</f>
        <v/>
      </c>
      <c r="O399" s="33" t="str">
        <f aca="false">IF(C399&lt;&gt;"", L399/(1-M399), "")</f>
        <v/>
      </c>
    </row>
    <row r="400" customFormat="false" ht="12.8" hidden="false" customHeight="false" outlineLevel="0" collapsed="false">
      <c r="A400" s="1" t="s">
        <v>1754</v>
      </c>
      <c r="B400" s="31" t="s">
        <v>1755</v>
      </c>
      <c r="D400" s="32" t="str">
        <f aca="true">IF(C400&lt;&gt;"", SUM(INDEX(INDIRECT("'" &amp; B400 &amp; "'.$A$1:$Z$1000"), 0, MATCH("count", INDIRECT("'" &amp; B400 &amp; "'.$A$1:$Z$1"), 0))), "")</f>
        <v/>
      </c>
      <c r="E400" s="33" t="str">
        <f aca="true">IF(C400&lt;&gt;"", SUM(INDEX(INDIRECT("'" &amp; B400 &amp; "'.$A$1:$Z$1000"), 0, MATCH("cost", INDIRECT("'" &amp; B400 &amp; "'.$A$1:$Z$1"), 0))), "")</f>
        <v/>
      </c>
      <c r="F400" s="40" t="str">
        <f aca="true">IF(C400&lt;&gt;"", SUM(INDEX(INDIRECT("'" &amp; B400 &amp; "'.$A$1:$Z$1000"), 0, MATCH("total_assembly_time_min", INDIRECT("'" &amp; B400 &amp; "'.$A$1:$Z$1"), 0)))/60, "")</f>
        <v/>
      </c>
      <c r="G400" s="33" t="str">
        <f aca="false">IF(C400&lt;&gt;"", values!$B$2, "")</f>
        <v/>
      </c>
      <c r="H400" s="33" t="str">
        <f aca="false">IF(C400&lt;&gt;"", F400*G400, "")</f>
        <v/>
      </c>
      <c r="I400" s="33" t="str">
        <f aca="false">IF(C400&lt;&gt;"", H400+E400, "")</f>
        <v/>
      </c>
      <c r="K400" s="33" t="str">
        <f aca="false">IF(C400&lt;&gt;"", L400-I400, "")</f>
        <v/>
      </c>
      <c r="L400" s="33" t="str">
        <f aca="false">IF(C400&lt;&gt;"", I400/(1-J400), "")</f>
        <v/>
      </c>
      <c r="M400" s="33" t="str">
        <f aca="false">IF(C400&lt;&gt;"", values!$A$2, "")</f>
        <v/>
      </c>
      <c r="N400" s="33" t="str">
        <f aca="false">IF(C400&lt;&gt;"", O400-L400, "")</f>
        <v/>
      </c>
      <c r="O400" s="33" t="str">
        <f aca="false">IF(C400&lt;&gt;"", L400/(1-M400), "")</f>
        <v/>
      </c>
    </row>
    <row r="401" customFormat="false" ht="12.8" hidden="false" customHeight="false" outlineLevel="0" collapsed="false">
      <c r="A401" s="1" t="s">
        <v>1756</v>
      </c>
      <c r="B401" s="31" t="s">
        <v>1757</v>
      </c>
      <c r="D401" s="32" t="str">
        <f aca="true">IF(C401&lt;&gt;"", SUM(INDEX(INDIRECT("'" &amp; B401 &amp; "'.$A$1:$Z$1000"), 0, MATCH("count", INDIRECT("'" &amp; B401 &amp; "'.$A$1:$Z$1"), 0))), "")</f>
        <v/>
      </c>
      <c r="E401" s="33" t="str">
        <f aca="true">IF(C401&lt;&gt;"", SUM(INDEX(INDIRECT("'" &amp; B401 &amp; "'.$A$1:$Z$1000"), 0, MATCH("cost", INDIRECT("'" &amp; B401 &amp; "'.$A$1:$Z$1"), 0))), "")</f>
        <v/>
      </c>
      <c r="F401" s="40" t="str">
        <f aca="true">IF(C401&lt;&gt;"", SUM(INDEX(INDIRECT("'" &amp; B401 &amp; "'.$A$1:$Z$1000"), 0, MATCH("total_assembly_time_min", INDIRECT("'" &amp; B401 &amp; "'.$A$1:$Z$1"), 0)))/60, "")</f>
        <v/>
      </c>
      <c r="G401" s="33" t="str">
        <f aca="false">IF(C401&lt;&gt;"", values!$B$2, "")</f>
        <v/>
      </c>
      <c r="H401" s="33" t="str">
        <f aca="false">IF(C401&lt;&gt;"", F401*G401, "")</f>
        <v/>
      </c>
      <c r="I401" s="33" t="str">
        <f aca="false">IF(C401&lt;&gt;"", H401+E401, "")</f>
        <v/>
      </c>
      <c r="K401" s="33" t="str">
        <f aca="false">IF(C401&lt;&gt;"", L401-I401, "")</f>
        <v/>
      </c>
      <c r="L401" s="33" t="str">
        <f aca="false">IF(C401&lt;&gt;"", I401/(1-J401), "")</f>
        <v/>
      </c>
      <c r="M401" s="33" t="str">
        <f aca="false">IF(C401&lt;&gt;"", values!$A$2, "")</f>
        <v/>
      </c>
      <c r="N401" s="33" t="str">
        <f aca="false">IF(C401&lt;&gt;"", O401-L401, "")</f>
        <v/>
      </c>
      <c r="O401" s="33" t="str">
        <f aca="false">IF(C401&lt;&gt;"", L401/(1-M401), "")</f>
        <v/>
      </c>
    </row>
    <row r="402" customFormat="false" ht="12.8" hidden="false" customHeight="false" outlineLevel="0" collapsed="false">
      <c r="A402" s="1" t="s">
        <v>1758</v>
      </c>
      <c r="B402" s="31" t="s">
        <v>1759</v>
      </c>
      <c r="D402" s="32" t="str">
        <f aca="true">IF(C402&lt;&gt;"", SUM(INDEX(INDIRECT("'" &amp; B402 &amp; "'.$A$1:$Z$1000"), 0, MATCH("count", INDIRECT("'" &amp; B402 &amp; "'.$A$1:$Z$1"), 0))), "")</f>
        <v/>
      </c>
      <c r="E402" s="33" t="str">
        <f aca="true">IF(C402&lt;&gt;"", SUM(INDEX(INDIRECT("'" &amp; B402 &amp; "'.$A$1:$Z$1000"), 0, MATCH("cost", INDIRECT("'" &amp; B402 &amp; "'.$A$1:$Z$1"), 0))), "")</f>
        <v/>
      </c>
      <c r="F402" s="40" t="str">
        <f aca="true">IF(C402&lt;&gt;"", SUM(INDEX(INDIRECT("'" &amp; B402 &amp; "'.$A$1:$Z$1000"), 0, MATCH("total_assembly_time_min", INDIRECT("'" &amp; B402 &amp; "'.$A$1:$Z$1"), 0)))/60, "")</f>
        <v/>
      </c>
      <c r="G402" s="33" t="str">
        <f aca="false">IF(C402&lt;&gt;"", values!$B$2, "")</f>
        <v/>
      </c>
      <c r="H402" s="33" t="str">
        <f aca="false">IF(C402&lt;&gt;"", F402*G402, "")</f>
        <v/>
      </c>
      <c r="I402" s="33" t="str">
        <f aca="false">IF(C402&lt;&gt;"", H402+E402, "")</f>
        <v/>
      </c>
      <c r="K402" s="33" t="str">
        <f aca="false">IF(C402&lt;&gt;"", L402-I402, "")</f>
        <v/>
      </c>
      <c r="L402" s="33" t="str">
        <f aca="false">IF(C402&lt;&gt;"", I402/(1-J402), "")</f>
        <v/>
      </c>
      <c r="M402" s="33" t="str">
        <f aca="false">IF(C402&lt;&gt;"", values!$A$2, "")</f>
        <v/>
      </c>
      <c r="N402" s="33" t="str">
        <f aca="false">IF(C402&lt;&gt;"", O402-L402, "")</f>
        <v/>
      </c>
      <c r="O402" s="33" t="str">
        <f aca="false">IF(C402&lt;&gt;"", L402/(1-M402), "")</f>
        <v/>
      </c>
    </row>
    <row r="403" customFormat="false" ht="12.8" hidden="false" customHeight="false" outlineLevel="0" collapsed="false">
      <c r="A403" s="1" t="s">
        <v>1760</v>
      </c>
      <c r="B403" s="31" t="s">
        <v>1761</v>
      </c>
      <c r="D403" s="32" t="str">
        <f aca="true">IF(C403&lt;&gt;"", SUM(INDEX(INDIRECT("'" &amp; B403 &amp; "'.$A$1:$Z$1000"), 0, MATCH("count", INDIRECT("'" &amp; B403 &amp; "'.$A$1:$Z$1"), 0))), "")</f>
        <v/>
      </c>
      <c r="E403" s="33" t="str">
        <f aca="true">IF(C403&lt;&gt;"", SUM(INDEX(INDIRECT("'" &amp; B403 &amp; "'.$A$1:$Z$1000"), 0, MATCH("cost", INDIRECT("'" &amp; B403 &amp; "'.$A$1:$Z$1"), 0))), "")</f>
        <v/>
      </c>
      <c r="F403" s="40" t="str">
        <f aca="true">IF(C403&lt;&gt;"", SUM(INDEX(INDIRECT("'" &amp; B403 &amp; "'.$A$1:$Z$1000"), 0, MATCH("total_assembly_time_min", INDIRECT("'" &amp; B403 &amp; "'.$A$1:$Z$1"), 0)))/60, "")</f>
        <v/>
      </c>
      <c r="G403" s="33" t="str">
        <f aca="false">IF(C403&lt;&gt;"", values!$B$2, "")</f>
        <v/>
      </c>
      <c r="H403" s="33" t="str">
        <f aca="false">IF(C403&lt;&gt;"", F403*G403, "")</f>
        <v/>
      </c>
      <c r="I403" s="33" t="str">
        <f aca="false">IF(C403&lt;&gt;"", H403+E403, "")</f>
        <v/>
      </c>
      <c r="K403" s="33" t="str">
        <f aca="false">IF(C403&lt;&gt;"", L403-I403, "")</f>
        <v/>
      </c>
      <c r="L403" s="33" t="str">
        <f aca="false">IF(C403&lt;&gt;"", I403/(1-J403), "")</f>
        <v/>
      </c>
      <c r="M403" s="33" t="str">
        <f aca="false">IF(C403&lt;&gt;"", values!$A$2, "")</f>
        <v/>
      </c>
      <c r="N403" s="33" t="str">
        <f aca="false">IF(C403&lt;&gt;"", O403-L403, "")</f>
        <v/>
      </c>
      <c r="O403" s="33" t="str">
        <f aca="false">IF(C403&lt;&gt;"", L403/(1-M403), "")</f>
        <v/>
      </c>
    </row>
    <row r="404" customFormat="false" ht="12.8" hidden="false" customHeight="false" outlineLevel="0" collapsed="false">
      <c r="A404" s="1" t="s">
        <v>1762</v>
      </c>
      <c r="B404" s="31" t="s">
        <v>1763</v>
      </c>
      <c r="D404" s="32" t="str">
        <f aca="true">IF(C404&lt;&gt;"", SUM(INDEX(INDIRECT("'" &amp; B404 &amp; "'.$A$1:$Z$1000"), 0, MATCH("count", INDIRECT("'" &amp; B404 &amp; "'.$A$1:$Z$1"), 0))), "")</f>
        <v/>
      </c>
      <c r="E404" s="33" t="str">
        <f aca="true">IF(C404&lt;&gt;"", SUM(INDEX(INDIRECT("'" &amp; B404 &amp; "'.$A$1:$Z$1000"), 0, MATCH("cost", INDIRECT("'" &amp; B404 &amp; "'.$A$1:$Z$1"), 0))), "")</f>
        <v/>
      </c>
      <c r="F404" s="40" t="str">
        <f aca="true">IF(C404&lt;&gt;"", SUM(INDEX(INDIRECT("'" &amp; B404 &amp; "'.$A$1:$Z$1000"), 0, MATCH("total_assembly_time_min", INDIRECT("'" &amp; B404 &amp; "'.$A$1:$Z$1"), 0)))/60, "")</f>
        <v/>
      </c>
      <c r="G404" s="33" t="str">
        <f aca="false">IF(C404&lt;&gt;"", values!$B$2, "")</f>
        <v/>
      </c>
      <c r="H404" s="33" t="str">
        <f aca="false">IF(C404&lt;&gt;"", F404*G404, "")</f>
        <v/>
      </c>
      <c r="I404" s="33" t="str">
        <f aca="false">IF(C404&lt;&gt;"", H404+E404, "")</f>
        <v/>
      </c>
      <c r="K404" s="33" t="str">
        <f aca="false">IF(C404&lt;&gt;"", L404-I404, "")</f>
        <v/>
      </c>
      <c r="L404" s="33" t="str">
        <f aca="false">IF(C404&lt;&gt;"", I404/(1-J404), "")</f>
        <v/>
      </c>
      <c r="M404" s="33" t="str">
        <f aca="false">IF(C404&lt;&gt;"", values!$A$2, "")</f>
        <v/>
      </c>
      <c r="N404" s="33" t="str">
        <f aca="false">IF(C404&lt;&gt;"", O404-L404, "")</f>
        <v/>
      </c>
      <c r="O404" s="33" t="str">
        <f aca="false">IF(C404&lt;&gt;"", L404/(1-M404), "")</f>
        <v/>
      </c>
    </row>
    <row r="405" customFormat="false" ht="12.8" hidden="false" customHeight="false" outlineLevel="0" collapsed="false">
      <c r="A405" s="1" t="s">
        <v>1764</v>
      </c>
      <c r="B405" s="31" t="s">
        <v>1765</v>
      </c>
      <c r="D405" s="32" t="str">
        <f aca="true">IF(C405&lt;&gt;"", SUM(INDEX(INDIRECT("'" &amp; B405 &amp; "'.$A$1:$Z$1000"), 0, MATCH("count", INDIRECT("'" &amp; B405 &amp; "'.$A$1:$Z$1"), 0))), "")</f>
        <v/>
      </c>
      <c r="E405" s="33" t="str">
        <f aca="true">IF(C405&lt;&gt;"", SUM(INDEX(INDIRECT("'" &amp; B405 &amp; "'.$A$1:$Z$1000"), 0, MATCH("cost", INDIRECT("'" &amp; B405 &amp; "'.$A$1:$Z$1"), 0))), "")</f>
        <v/>
      </c>
      <c r="F405" s="40" t="str">
        <f aca="true">IF(C405&lt;&gt;"", SUM(INDEX(INDIRECT("'" &amp; B405 &amp; "'.$A$1:$Z$1000"), 0, MATCH("total_assembly_time_min", INDIRECT("'" &amp; B405 &amp; "'.$A$1:$Z$1"), 0)))/60, "")</f>
        <v/>
      </c>
      <c r="G405" s="33" t="str">
        <f aca="false">IF(C405&lt;&gt;"", values!$B$2, "")</f>
        <v/>
      </c>
      <c r="H405" s="33" t="str">
        <f aca="false">IF(C405&lt;&gt;"", F405*G405, "")</f>
        <v/>
      </c>
      <c r="I405" s="33" t="str">
        <f aca="false">IF(C405&lt;&gt;"", H405+E405, "")</f>
        <v/>
      </c>
      <c r="K405" s="33" t="str">
        <f aca="false">IF(C405&lt;&gt;"", L405-I405, "")</f>
        <v/>
      </c>
      <c r="L405" s="33" t="str">
        <f aca="false">IF(C405&lt;&gt;"", I405/(1-J405), "")</f>
        <v/>
      </c>
      <c r="M405" s="33" t="str">
        <f aca="false">IF(C405&lt;&gt;"", values!$A$2, "")</f>
        <v/>
      </c>
      <c r="N405" s="33" t="str">
        <f aca="false">IF(C405&lt;&gt;"", O405-L405, "")</f>
        <v/>
      </c>
      <c r="O405" s="33" t="str">
        <f aca="false">IF(C405&lt;&gt;"", L405/(1-M405), "")</f>
        <v/>
      </c>
    </row>
    <row r="406" customFormat="false" ht="12.8" hidden="false" customHeight="false" outlineLevel="0" collapsed="false">
      <c r="A406" s="1" t="s">
        <v>1766</v>
      </c>
      <c r="B406" s="31" t="s">
        <v>1767</v>
      </c>
      <c r="D406" s="32" t="str">
        <f aca="true">IF(C406&lt;&gt;"", SUM(INDEX(INDIRECT("'" &amp; B406 &amp; "'.$A$1:$Z$1000"), 0, MATCH("count", INDIRECT("'" &amp; B406 &amp; "'.$A$1:$Z$1"), 0))), "")</f>
        <v/>
      </c>
      <c r="E406" s="33" t="str">
        <f aca="true">IF(C406&lt;&gt;"", SUM(INDEX(INDIRECT("'" &amp; B406 &amp; "'.$A$1:$Z$1000"), 0, MATCH("cost", INDIRECT("'" &amp; B406 &amp; "'.$A$1:$Z$1"), 0))), "")</f>
        <v/>
      </c>
      <c r="F406" s="40" t="str">
        <f aca="true">IF(C406&lt;&gt;"", SUM(INDEX(INDIRECT("'" &amp; B406 &amp; "'.$A$1:$Z$1000"), 0, MATCH("total_assembly_time_min", INDIRECT("'" &amp; B406 &amp; "'.$A$1:$Z$1"), 0)))/60, "")</f>
        <v/>
      </c>
      <c r="G406" s="33" t="str">
        <f aca="false">IF(C406&lt;&gt;"", values!$B$2, "")</f>
        <v/>
      </c>
      <c r="H406" s="33" t="str">
        <f aca="false">IF(C406&lt;&gt;"", F406*G406, "")</f>
        <v/>
      </c>
      <c r="I406" s="33" t="str">
        <f aca="false">IF(C406&lt;&gt;"", H406+E406, "")</f>
        <v/>
      </c>
      <c r="K406" s="33" t="str">
        <f aca="false">IF(C406&lt;&gt;"", L406-I406, "")</f>
        <v/>
      </c>
      <c r="L406" s="33" t="str">
        <f aca="false">IF(C406&lt;&gt;"", I406/(1-J406), "")</f>
        <v/>
      </c>
      <c r="M406" s="33" t="str">
        <f aca="false">IF(C406&lt;&gt;"", values!$A$2, "")</f>
        <v/>
      </c>
      <c r="N406" s="33" t="str">
        <f aca="false">IF(C406&lt;&gt;"", O406-L406, "")</f>
        <v/>
      </c>
      <c r="O406" s="33" t="str">
        <f aca="false">IF(C406&lt;&gt;"", L406/(1-M406), "")</f>
        <v/>
      </c>
    </row>
    <row r="407" customFormat="false" ht="12.8" hidden="false" customHeight="false" outlineLevel="0" collapsed="false">
      <c r="A407" s="1" t="s">
        <v>1768</v>
      </c>
      <c r="B407" s="31" t="s">
        <v>1769</v>
      </c>
      <c r="D407" s="32" t="str">
        <f aca="true">IF(C407&lt;&gt;"", SUM(INDEX(INDIRECT("'" &amp; B407 &amp; "'.$A$1:$Z$1000"), 0, MATCH("count", INDIRECT("'" &amp; B407 &amp; "'.$A$1:$Z$1"), 0))), "")</f>
        <v/>
      </c>
      <c r="E407" s="33" t="str">
        <f aca="true">IF(C407&lt;&gt;"", SUM(INDEX(INDIRECT("'" &amp; B407 &amp; "'.$A$1:$Z$1000"), 0, MATCH("cost", INDIRECT("'" &amp; B407 &amp; "'.$A$1:$Z$1"), 0))), "")</f>
        <v/>
      </c>
      <c r="F407" s="40" t="str">
        <f aca="true">IF(C407&lt;&gt;"", SUM(INDEX(INDIRECT("'" &amp; B407 &amp; "'.$A$1:$Z$1000"), 0, MATCH("total_assembly_time_min", INDIRECT("'" &amp; B407 &amp; "'.$A$1:$Z$1"), 0)))/60, "")</f>
        <v/>
      </c>
      <c r="G407" s="33" t="str">
        <f aca="false">IF(C407&lt;&gt;"", values!$B$2, "")</f>
        <v/>
      </c>
      <c r="H407" s="33" t="str">
        <f aca="false">IF(C407&lt;&gt;"", F407*G407, "")</f>
        <v/>
      </c>
      <c r="I407" s="33" t="str">
        <f aca="false">IF(C407&lt;&gt;"", H407+E407, "")</f>
        <v/>
      </c>
      <c r="K407" s="33" t="str">
        <f aca="false">IF(C407&lt;&gt;"", L407-I407, "")</f>
        <v/>
      </c>
      <c r="L407" s="33" t="str">
        <f aca="false">IF(C407&lt;&gt;"", I407/(1-J407), "")</f>
        <v/>
      </c>
      <c r="M407" s="33" t="str">
        <f aca="false">IF(C407&lt;&gt;"", values!$A$2, "")</f>
        <v/>
      </c>
      <c r="N407" s="33" t="str">
        <f aca="false">IF(C407&lt;&gt;"", O407-L407, "")</f>
        <v/>
      </c>
      <c r="O407" s="33" t="str">
        <f aca="false">IF(C407&lt;&gt;"", L407/(1-M407), "")</f>
        <v/>
      </c>
    </row>
    <row r="408" customFormat="false" ht="12.8" hidden="false" customHeight="false" outlineLevel="0" collapsed="false">
      <c r="A408" s="1" t="s">
        <v>1770</v>
      </c>
      <c r="B408" s="31" t="s">
        <v>1771</v>
      </c>
      <c r="D408" s="32" t="str">
        <f aca="true">IF(C408&lt;&gt;"", SUM(INDEX(INDIRECT("'" &amp; B408 &amp; "'.$A$1:$Z$1000"), 0, MATCH("count", INDIRECT("'" &amp; B408 &amp; "'.$A$1:$Z$1"), 0))), "")</f>
        <v/>
      </c>
      <c r="E408" s="33" t="str">
        <f aca="true">IF(C408&lt;&gt;"", SUM(INDEX(INDIRECT("'" &amp; B408 &amp; "'.$A$1:$Z$1000"), 0, MATCH("cost", INDIRECT("'" &amp; B408 &amp; "'.$A$1:$Z$1"), 0))), "")</f>
        <v/>
      </c>
      <c r="F408" s="40" t="str">
        <f aca="true">IF(C408&lt;&gt;"", SUM(INDEX(INDIRECT("'" &amp; B408 &amp; "'.$A$1:$Z$1000"), 0, MATCH("total_assembly_time_min", INDIRECT("'" &amp; B408 &amp; "'.$A$1:$Z$1"), 0)))/60, "")</f>
        <v/>
      </c>
      <c r="G408" s="33" t="str">
        <f aca="false">IF(C408&lt;&gt;"", values!$B$2, "")</f>
        <v/>
      </c>
      <c r="H408" s="33" t="str">
        <f aca="false">IF(C408&lt;&gt;"", F408*G408, "")</f>
        <v/>
      </c>
      <c r="I408" s="33" t="str">
        <f aca="false">IF(C408&lt;&gt;"", H408+E408, "")</f>
        <v/>
      </c>
      <c r="K408" s="33" t="str">
        <f aca="false">IF(C408&lt;&gt;"", L408-I408, "")</f>
        <v/>
      </c>
      <c r="L408" s="33" t="str">
        <f aca="false">IF(C408&lt;&gt;"", I408/(1-J408), "")</f>
        <v/>
      </c>
      <c r="M408" s="33" t="str">
        <f aca="false">IF(C408&lt;&gt;"", values!$A$2, "")</f>
        <v/>
      </c>
      <c r="N408" s="33" t="str">
        <f aca="false">IF(C408&lt;&gt;"", O408-L408, "")</f>
        <v/>
      </c>
      <c r="O408" s="33" t="str">
        <f aca="false">IF(C408&lt;&gt;"", L408/(1-M408), "")</f>
        <v/>
      </c>
    </row>
    <row r="409" customFormat="false" ht="12.8" hidden="false" customHeight="false" outlineLevel="0" collapsed="false">
      <c r="A409" s="1" t="s">
        <v>1772</v>
      </c>
      <c r="B409" s="31" t="s">
        <v>1773</v>
      </c>
      <c r="D409" s="32" t="str">
        <f aca="true">IF(C409&lt;&gt;"", SUM(INDEX(INDIRECT("'" &amp; B409 &amp; "'.$A$1:$Z$1000"), 0, MATCH("count", INDIRECT("'" &amp; B409 &amp; "'.$A$1:$Z$1"), 0))), "")</f>
        <v/>
      </c>
      <c r="E409" s="33" t="str">
        <f aca="true">IF(C409&lt;&gt;"", SUM(INDEX(INDIRECT("'" &amp; B409 &amp; "'.$A$1:$Z$1000"), 0, MATCH("cost", INDIRECT("'" &amp; B409 &amp; "'.$A$1:$Z$1"), 0))), "")</f>
        <v/>
      </c>
      <c r="F409" s="40" t="str">
        <f aca="true">IF(C409&lt;&gt;"", SUM(INDEX(INDIRECT("'" &amp; B409 &amp; "'.$A$1:$Z$1000"), 0, MATCH("total_assembly_time_min", INDIRECT("'" &amp; B409 &amp; "'.$A$1:$Z$1"), 0)))/60, "")</f>
        <v/>
      </c>
      <c r="G409" s="33" t="str">
        <f aca="false">IF(C409&lt;&gt;"", values!$B$2, "")</f>
        <v/>
      </c>
      <c r="H409" s="33" t="str">
        <f aca="false">IF(C409&lt;&gt;"", F409*G409, "")</f>
        <v/>
      </c>
      <c r="I409" s="33" t="str">
        <f aca="false">IF(C409&lt;&gt;"", H409+E409, "")</f>
        <v/>
      </c>
      <c r="K409" s="33" t="str">
        <f aca="false">IF(C409&lt;&gt;"", L409-I409, "")</f>
        <v/>
      </c>
      <c r="L409" s="33" t="str">
        <f aca="false">IF(C409&lt;&gt;"", I409/(1-J409), "")</f>
        <v/>
      </c>
      <c r="M409" s="33" t="str">
        <f aca="false">IF(C409&lt;&gt;"", values!$A$2, "")</f>
        <v/>
      </c>
      <c r="N409" s="33" t="str">
        <f aca="false">IF(C409&lt;&gt;"", O409-L409, "")</f>
        <v/>
      </c>
      <c r="O409" s="33" t="str">
        <f aca="false">IF(C409&lt;&gt;"", L409/(1-M409), "")</f>
        <v/>
      </c>
    </row>
    <row r="410" customFormat="false" ht="12.8" hidden="false" customHeight="false" outlineLevel="0" collapsed="false">
      <c r="A410" s="1" t="s">
        <v>1774</v>
      </c>
      <c r="B410" s="31" t="s">
        <v>1775</v>
      </c>
      <c r="D410" s="32" t="str">
        <f aca="true">IF(C410&lt;&gt;"", SUM(INDEX(INDIRECT("'" &amp; B410 &amp; "'.$A$1:$Z$1000"), 0, MATCH("count", INDIRECT("'" &amp; B410 &amp; "'.$A$1:$Z$1"), 0))), "")</f>
        <v/>
      </c>
      <c r="E410" s="33" t="str">
        <f aca="true">IF(C410&lt;&gt;"", SUM(INDEX(INDIRECT("'" &amp; B410 &amp; "'.$A$1:$Z$1000"), 0, MATCH("cost", INDIRECT("'" &amp; B410 &amp; "'.$A$1:$Z$1"), 0))), "")</f>
        <v/>
      </c>
      <c r="F410" s="40" t="str">
        <f aca="true">IF(C410&lt;&gt;"", SUM(INDEX(INDIRECT("'" &amp; B410 &amp; "'.$A$1:$Z$1000"), 0, MATCH("total_assembly_time_min", INDIRECT("'" &amp; B410 &amp; "'.$A$1:$Z$1"), 0)))/60, "")</f>
        <v/>
      </c>
      <c r="G410" s="33" t="str">
        <f aca="false">IF(C410&lt;&gt;"", values!$B$2, "")</f>
        <v/>
      </c>
      <c r="H410" s="33" t="str">
        <f aca="false">IF(C410&lt;&gt;"", F410*G410, "")</f>
        <v/>
      </c>
      <c r="I410" s="33" t="str">
        <f aca="false">IF(C410&lt;&gt;"", H410+E410, "")</f>
        <v/>
      </c>
      <c r="K410" s="33" t="str">
        <f aca="false">IF(C410&lt;&gt;"", L410-I410, "")</f>
        <v/>
      </c>
      <c r="L410" s="33" t="str">
        <f aca="false">IF(C410&lt;&gt;"", I410/(1-J410), "")</f>
        <v/>
      </c>
      <c r="M410" s="33" t="str">
        <f aca="false">IF(C410&lt;&gt;"", values!$A$2, "")</f>
        <v/>
      </c>
      <c r="N410" s="33" t="str">
        <f aca="false">IF(C410&lt;&gt;"", O410-L410, "")</f>
        <v/>
      </c>
      <c r="O410" s="33" t="str">
        <f aca="false">IF(C410&lt;&gt;"", L410/(1-M410), "")</f>
        <v/>
      </c>
    </row>
    <row r="411" customFormat="false" ht="12.8" hidden="false" customHeight="false" outlineLevel="0" collapsed="false">
      <c r="A411" s="1" t="s">
        <v>1776</v>
      </c>
      <c r="B411" s="31" t="s">
        <v>1777</v>
      </c>
      <c r="D411" s="32" t="str">
        <f aca="true">IF(C411&lt;&gt;"", SUM(INDEX(INDIRECT("'" &amp; B411 &amp; "'.$A$1:$Z$1000"), 0, MATCH("count", INDIRECT("'" &amp; B411 &amp; "'.$A$1:$Z$1"), 0))), "")</f>
        <v/>
      </c>
      <c r="E411" s="33" t="str">
        <f aca="true">IF(C411&lt;&gt;"", SUM(INDEX(INDIRECT("'" &amp; B411 &amp; "'.$A$1:$Z$1000"), 0, MATCH("cost", INDIRECT("'" &amp; B411 &amp; "'.$A$1:$Z$1"), 0))), "")</f>
        <v/>
      </c>
      <c r="F411" s="40" t="str">
        <f aca="true">IF(C411&lt;&gt;"", SUM(INDEX(INDIRECT("'" &amp; B411 &amp; "'.$A$1:$Z$1000"), 0, MATCH("total_assembly_time_min", INDIRECT("'" &amp; B411 &amp; "'.$A$1:$Z$1"), 0)))/60, "")</f>
        <v/>
      </c>
      <c r="G411" s="33" t="str">
        <f aca="false">IF(C411&lt;&gt;"", values!$B$2, "")</f>
        <v/>
      </c>
      <c r="H411" s="33" t="str">
        <f aca="false">IF(C411&lt;&gt;"", F411*G411, "")</f>
        <v/>
      </c>
      <c r="I411" s="33" t="str">
        <f aca="false">IF(C411&lt;&gt;"", H411+E411, "")</f>
        <v/>
      </c>
      <c r="K411" s="33" t="str">
        <f aca="false">IF(C411&lt;&gt;"", L411-I411, "")</f>
        <v/>
      </c>
      <c r="L411" s="33" t="str">
        <f aca="false">IF(C411&lt;&gt;"", I411/(1-J411), "")</f>
        <v/>
      </c>
      <c r="M411" s="33" t="str">
        <f aca="false">IF(C411&lt;&gt;"", values!$A$2, "")</f>
        <v/>
      </c>
      <c r="N411" s="33" t="str">
        <f aca="false">IF(C411&lt;&gt;"", O411-L411, "")</f>
        <v/>
      </c>
      <c r="O411" s="33" t="str">
        <f aca="false">IF(C411&lt;&gt;"", L411/(1-M411), "")</f>
        <v/>
      </c>
    </row>
    <row r="412" customFormat="false" ht="12.8" hidden="false" customHeight="false" outlineLevel="0" collapsed="false">
      <c r="A412" s="1" t="s">
        <v>1778</v>
      </c>
      <c r="B412" s="31" t="s">
        <v>1779</v>
      </c>
      <c r="D412" s="32" t="str">
        <f aca="true">IF(C412&lt;&gt;"", SUM(INDEX(INDIRECT("'" &amp; B412 &amp; "'.$A$1:$Z$1000"), 0, MATCH("count", INDIRECT("'" &amp; B412 &amp; "'.$A$1:$Z$1"), 0))), "")</f>
        <v/>
      </c>
      <c r="E412" s="33" t="str">
        <f aca="true">IF(C412&lt;&gt;"", SUM(INDEX(INDIRECT("'" &amp; B412 &amp; "'.$A$1:$Z$1000"), 0, MATCH("cost", INDIRECT("'" &amp; B412 &amp; "'.$A$1:$Z$1"), 0))), "")</f>
        <v/>
      </c>
      <c r="F412" s="40" t="str">
        <f aca="true">IF(C412&lt;&gt;"", SUM(INDEX(INDIRECT("'" &amp; B412 &amp; "'.$A$1:$Z$1000"), 0, MATCH("total_assembly_time_min", INDIRECT("'" &amp; B412 &amp; "'.$A$1:$Z$1"), 0)))/60, "")</f>
        <v/>
      </c>
      <c r="G412" s="33" t="str">
        <f aca="false">IF(C412&lt;&gt;"", values!$B$2, "")</f>
        <v/>
      </c>
      <c r="H412" s="33" t="str">
        <f aca="false">IF(C412&lt;&gt;"", F412*G412, "")</f>
        <v/>
      </c>
      <c r="I412" s="33" t="str">
        <f aca="false">IF(C412&lt;&gt;"", H412+E412, "")</f>
        <v/>
      </c>
      <c r="K412" s="33" t="str">
        <f aca="false">IF(C412&lt;&gt;"", L412-I412, "")</f>
        <v/>
      </c>
      <c r="L412" s="33" t="str">
        <f aca="false">IF(C412&lt;&gt;"", I412/(1-J412), "")</f>
        <v/>
      </c>
      <c r="M412" s="33" t="str">
        <f aca="false">IF(C412&lt;&gt;"", values!$A$2, "")</f>
        <v/>
      </c>
      <c r="N412" s="33" t="str">
        <f aca="false">IF(C412&lt;&gt;"", O412-L412, "")</f>
        <v/>
      </c>
      <c r="O412" s="33" t="str">
        <f aca="false">IF(C412&lt;&gt;"", L412/(1-M412), "")</f>
        <v/>
      </c>
    </row>
    <row r="413" customFormat="false" ht="12.8" hidden="false" customHeight="false" outlineLevel="0" collapsed="false">
      <c r="A413" s="1" t="s">
        <v>1780</v>
      </c>
      <c r="B413" s="31" t="s">
        <v>1781</v>
      </c>
      <c r="D413" s="32" t="str">
        <f aca="true">IF(C413&lt;&gt;"", SUM(INDEX(INDIRECT("'" &amp; B413 &amp; "'.$A$1:$Z$1000"), 0, MATCH("count", INDIRECT("'" &amp; B413 &amp; "'.$A$1:$Z$1"), 0))), "")</f>
        <v/>
      </c>
      <c r="E413" s="33" t="str">
        <f aca="true">IF(C413&lt;&gt;"", SUM(INDEX(INDIRECT("'" &amp; B413 &amp; "'.$A$1:$Z$1000"), 0, MATCH("cost", INDIRECT("'" &amp; B413 &amp; "'.$A$1:$Z$1"), 0))), "")</f>
        <v/>
      </c>
      <c r="F413" s="40" t="str">
        <f aca="true">IF(C413&lt;&gt;"", SUM(INDEX(INDIRECT("'" &amp; B413 &amp; "'.$A$1:$Z$1000"), 0, MATCH("total_assembly_time_min", INDIRECT("'" &amp; B413 &amp; "'.$A$1:$Z$1"), 0)))/60, "")</f>
        <v/>
      </c>
      <c r="G413" s="33" t="str">
        <f aca="false">IF(C413&lt;&gt;"", values!$B$2, "")</f>
        <v/>
      </c>
      <c r="H413" s="33" t="str">
        <f aca="false">IF(C413&lt;&gt;"", F413*G413, "")</f>
        <v/>
      </c>
      <c r="I413" s="33" t="str">
        <f aca="false">IF(C413&lt;&gt;"", H413+E413, "")</f>
        <v/>
      </c>
      <c r="K413" s="33" t="str">
        <f aca="false">IF(C413&lt;&gt;"", L413-I413, "")</f>
        <v/>
      </c>
      <c r="L413" s="33" t="str">
        <f aca="false">IF(C413&lt;&gt;"", I413/(1-J413), "")</f>
        <v/>
      </c>
      <c r="M413" s="33" t="str">
        <f aca="false">IF(C413&lt;&gt;"", values!$A$2, "")</f>
        <v/>
      </c>
      <c r="N413" s="33" t="str">
        <f aca="false">IF(C413&lt;&gt;"", O413-L413, "")</f>
        <v/>
      </c>
      <c r="O413" s="33" t="str">
        <f aca="false">IF(C413&lt;&gt;"", L413/(1-M413), "")</f>
        <v/>
      </c>
    </row>
    <row r="414" customFormat="false" ht="12.8" hidden="false" customHeight="false" outlineLevel="0" collapsed="false">
      <c r="A414" s="1" t="s">
        <v>1782</v>
      </c>
      <c r="B414" s="31" t="s">
        <v>1783</v>
      </c>
      <c r="D414" s="32" t="str">
        <f aca="true">IF(C414&lt;&gt;"", SUM(INDEX(INDIRECT("'" &amp; B414 &amp; "'.$A$1:$Z$1000"), 0, MATCH("count", INDIRECT("'" &amp; B414 &amp; "'.$A$1:$Z$1"), 0))), "")</f>
        <v/>
      </c>
      <c r="E414" s="33" t="str">
        <f aca="true">IF(C414&lt;&gt;"", SUM(INDEX(INDIRECT("'" &amp; B414 &amp; "'.$A$1:$Z$1000"), 0, MATCH("cost", INDIRECT("'" &amp; B414 &amp; "'.$A$1:$Z$1"), 0))), "")</f>
        <v/>
      </c>
      <c r="F414" s="40" t="str">
        <f aca="true">IF(C414&lt;&gt;"", SUM(INDEX(INDIRECT("'" &amp; B414 &amp; "'.$A$1:$Z$1000"), 0, MATCH("total_assembly_time_min", INDIRECT("'" &amp; B414 &amp; "'.$A$1:$Z$1"), 0)))/60, "")</f>
        <v/>
      </c>
      <c r="G414" s="33" t="str">
        <f aca="false">IF(C414&lt;&gt;"", values!$B$2, "")</f>
        <v/>
      </c>
      <c r="H414" s="33" t="str">
        <f aca="false">IF(C414&lt;&gt;"", F414*G414, "")</f>
        <v/>
      </c>
      <c r="I414" s="33" t="str">
        <f aca="false">IF(C414&lt;&gt;"", H414+E414, "")</f>
        <v/>
      </c>
      <c r="K414" s="33" t="str">
        <f aca="false">IF(C414&lt;&gt;"", L414-I414, "")</f>
        <v/>
      </c>
      <c r="L414" s="33" t="str">
        <f aca="false">IF(C414&lt;&gt;"", I414/(1-J414), "")</f>
        <v/>
      </c>
      <c r="M414" s="33" t="str">
        <f aca="false">IF(C414&lt;&gt;"", values!$A$2, "")</f>
        <v/>
      </c>
      <c r="N414" s="33" t="str">
        <f aca="false">IF(C414&lt;&gt;"", O414-L414, "")</f>
        <v/>
      </c>
      <c r="O414" s="33" t="str">
        <f aca="false">IF(C414&lt;&gt;"", L414/(1-M414), "")</f>
        <v/>
      </c>
    </row>
    <row r="415" customFormat="false" ht="12.8" hidden="false" customHeight="false" outlineLevel="0" collapsed="false">
      <c r="A415" s="1" t="s">
        <v>1784</v>
      </c>
      <c r="B415" s="31" t="s">
        <v>1785</v>
      </c>
      <c r="D415" s="32" t="str">
        <f aca="true">IF(C415&lt;&gt;"", SUM(INDEX(INDIRECT("'" &amp; B415 &amp; "'.$A$1:$Z$1000"), 0, MATCH("count", INDIRECT("'" &amp; B415 &amp; "'.$A$1:$Z$1"), 0))), "")</f>
        <v/>
      </c>
      <c r="E415" s="33" t="str">
        <f aca="true">IF(C415&lt;&gt;"", SUM(INDEX(INDIRECT("'" &amp; B415 &amp; "'.$A$1:$Z$1000"), 0, MATCH("cost", INDIRECT("'" &amp; B415 &amp; "'.$A$1:$Z$1"), 0))), "")</f>
        <v/>
      </c>
      <c r="F415" s="40" t="str">
        <f aca="true">IF(C415&lt;&gt;"", SUM(INDEX(INDIRECT("'" &amp; B415 &amp; "'.$A$1:$Z$1000"), 0, MATCH("total_assembly_time_min", INDIRECT("'" &amp; B415 &amp; "'.$A$1:$Z$1"), 0)))/60, "")</f>
        <v/>
      </c>
      <c r="G415" s="33" t="str">
        <f aca="false">IF(C415&lt;&gt;"", values!$B$2, "")</f>
        <v/>
      </c>
      <c r="H415" s="33" t="str">
        <f aca="false">IF(C415&lt;&gt;"", F415*G415, "")</f>
        <v/>
      </c>
      <c r="I415" s="33" t="str">
        <f aca="false">IF(C415&lt;&gt;"", H415+E415, "")</f>
        <v/>
      </c>
      <c r="K415" s="33" t="str">
        <f aca="false">IF(C415&lt;&gt;"", L415-I415, "")</f>
        <v/>
      </c>
      <c r="L415" s="33" t="str">
        <f aca="false">IF(C415&lt;&gt;"", I415/(1-J415), "")</f>
        <v/>
      </c>
      <c r="M415" s="33" t="str">
        <f aca="false">IF(C415&lt;&gt;"", values!$A$2, "")</f>
        <v/>
      </c>
      <c r="N415" s="33" t="str">
        <f aca="false">IF(C415&lt;&gt;"", O415-L415, "")</f>
        <v/>
      </c>
      <c r="O415" s="33" t="str">
        <f aca="false">IF(C415&lt;&gt;"", L415/(1-M415), "")</f>
        <v/>
      </c>
    </row>
    <row r="416" customFormat="false" ht="12.8" hidden="false" customHeight="false" outlineLevel="0" collapsed="false">
      <c r="A416" s="1" t="s">
        <v>1786</v>
      </c>
      <c r="B416" s="31" t="s">
        <v>1787</v>
      </c>
      <c r="D416" s="32" t="str">
        <f aca="true">IF(C416&lt;&gt;"", SUM(INDEX(INDIRECT("'" &amp; B416 &amp; "'.$A$1:$Z$1000"), 0, MATCH("count", INDIRECT("'" &amp; B416 &amp; "'.$A$1:$Z$1"), 0))), "")</f>
        <v/>
      </c>
      <c r="E416" s="33" t="str">
        <f aca="true">IF(C416&lt;&gt;"", SUM(INDEX(INDIRECT("'" &amp; B416 &amp; "'.$A$1:$Z$1000"), 0, MATCH("cost", INDIRECT("'" &amp; B416 &amp; "'.$A$1:$Z$1"), 0))), "")</f>
        <v/>
      </c>
      <c r="F416" s="40" t="str">
        <f aca="true">IF(C416&lt;&gt;"", SUM(INDEX(INDIRECT("'" &amp; B416 &amp; "'.$A$1:$Z$1000"), 0, MATCH("total_assembly_time_min", INDIRECT("'" &amp; B416 &amp; "'.$A$1:$Z$1"), 0)))/60, "")</f>
        <v/>
      </c>
      <c r="G416" s="33" t="str">
        <f aca="false">IF(C416&lt;&gt;"", values!$B$2, "")</f>
        <v/>
      </c>
      <c r="H416" s="33" t="str">
        <f aca="false">IF(C416&lt;&gt;"", F416*G416, "")</f>
        <v/>
      </c>
      <c r="I416" s="33" t="str">
        <f aca="false">IF(C416&lt;&gt;"", H416+E416, "")</f>
        <v/>
      </c>
      <c r="K416" s="33" t="str">
        <f aca="false">IF(C416&lt;&gt;"", L416-I416, "")</f>
        <v/>
      </c>
      <c r="L416" s="33" t="str">
        <f aca="false">IF(C416&lt;&gt;"", I416/(1-J416), "")</f>
        <v/>
      </c>
      <c r="M416" s="33" t="str">
        <f aca="false">IF(C416&lt;&gt;"", values!$A$2, "")</f>
        <v/>
      </c>
      <c r="N416" s="33" t="str">
        <f aca="false">IF(C416&lt;&gt;"", O416-L416, "")</f>
        <v/>
      </c>
      <c r="O416" s="33" t="str">
        <f aca="false">IF(C416&lt;&gt;"", L416/(1-M416), "")</f>
        <v/>
      </c>
    </row>
    <row r="417" customFormat="false" ht="12.8" hidden="false" customHeight="false" outlineLevel="0" collapsed="false">
      <c r="A417" s="1" t="s">
        <v>1788</v>
      </c>
      <c r="B417" s="31" t="s">
        <v>1789</v>
      </c>
      <c r="D417" s="32" t="str">
        <f aca="true">IF(C417&lt;&gt;"", SUM(INDEX(INDIRECT("'" &amp; B417 &amp; "'.$A$1:$Z$1000"), 0, MATCH("count", INDIRECT("'" &amp; B417 &amp; "'.$A$1:$Z$1"), 0))), "")</f>
        <v/>
      </c>
      <c r="E417" s="33" t="str">
        <f aca="true">IF(C417&lt;&gt;"", SUM(INDEX(INDIRECT("'" &amp; B417 &amp; "'.$A$1:$Z$1000"), 0, MATCH("cost", INDIRECT("'" &amp; B417 &amp; "'.$A$1:$Z$1"), 0))), "")</f>
        <v/>
      </c>
      <c r="F417" s="40" t="str">
        <f aca="true">IF(C417&lt;&gt;"", SUM(INDEX(INDIRECT("'" &amp; B417 &amp; "'.$A$1:$Z$1000"), 0, MATCH("total_assembly_time_min", INDIRECT("'" &amp; B417 &amp; "'.$A$1:$Z$1"), 0)))/60, "")</f>
        <v/>
      </c>
      <c r="G417" s="33" t="str">
        <f aca="false">IF(C417&lt;&gt;"", values!$B$2, "")</f>
        <v/>
      </c>
      <c r="H417" s="33" t="str">
        <f aca="false">IF(C417&lt;&gt;"", F417*G417, "")</f>
        <v/>
      </c>
      <c r="I417" s="33" t="str">
        <f aca="false">IF(C417&lt;&gt;"", H417+E417, "")</f>
        <v/>
      </c>
      <c r="K417" s="33" t="str">
        <f aca="false">IF(C417&lt;&gt;"", L417-I417, "")</f>
        <v/>
      </c>
      <c r="L417" s="33" t="str">
        <f aca="false">IF(C417&lt;&gt;"", I417/(1-J417), "")</f>
        <v/>
      </c>
      <c r="M417" s="33" t="str">
        <f aca="false">IF(C417&lt;&gt;"", values!$A$2, "")</f>
        <v/>
      </c>
      <c r="N417" s="33" t="str">
        <f aca="false">IF(C417&lt;&gt;"", O417-L417, "")</f>
        <v/>
      </c>
      <c r="O417" s="33" t="str">
        <f aca="false">IF(C417&lt;&gt;"", L417/(1-M417), "")</f>
        <v/>
      </c>
    </row>
    <row r="418" customFormat="false" ht="12.8" hidden="false" customHeight="false" outlineLevel="0" collapsed="false">
      <c r="A418" s="1" t="s">
        <v>1790</v>
      </c>
      <c r="B418" s="31" t="s">
        <v>1791</v>
      </c>
      <c r="D418" s="32" t="str">
        <f aca="true">IF(C418&lt;&gt;"", SUM(INDEX(INDIRECT("'" &amp; B418 &amp; "'.$A$1:$Z$1000"), 0, MATCH("count", INDIRECT("'" &amp; B418 &amp; "'.$A$1:$Z$1"), 0))), "")</f>
        <v/>
      </c>
      <c r="E418" s="33" t="str">
        <f aca="true">IF(C418&lt;&gt;"", SUM(INDEX(INDIRECT("'" &amp; B418 &amp; "'.$A$1:$Z$1000"), 0, MATCH("cost", INDIRECT("'" &amp; B418 &amp; "'.$A$1:$Z$1"), 0))), "")</f>
        <v/>
      </c>
      <c r="F418" s="40" t="str">
        <f aca="true">IF(C418&lt;&gt;"", SUM(INDEX(INDIRECT("'" &amp; B418 &amp; "'.$A$1:$Z$1000"), 0, MATCH("total_assembly_time_min", INDIRECT("'" &amp; B418 &amp; "'.$A$1:$Z$1"), 0)))/60, "")</f>
        <v/>
      </c>
      <c r="G418" s="33" t="str">
        <f aca="false">IF(C418&lt;&gt;"", values!$B$2, "")</f>
        <v/>
      </c>
      <c r="H418" s="33" t="str">
        <f aca="false">IF(C418&lt;&gt;"", F418*G418, "")</f>
        <v/>
      </c>
      <c r="I418" s="33" t="str">
        <f aca="false">IF(C418&lt;&gt;"", H418+E418, "")</f>
        <v/>
      </c>
      <c r="K418" s="33" t="str">
        <f aca="false">IF(C418&lt;&gt;"", L418-I418, "")</f>
        <v/>
      </c>
      <c r="L418" s="33" t="str">
        <f aca="false">IF(C418&lt;&gt;"", I418/(1-J418), "")</f>
        <v/>
      </c>
      <c r="M418" s="33" t="str">
        <f aca="false">IF(C418&lt;&gt;"", values!$A$2, "")</f>
        <v/>
      </c>
      <c r="N418" s="33" t="str">
        <f aca="false">IF(C418&lt;&gt;"", O418-L418, "")</f>
        <v/>
      </c>
      <c r="O418" s="33" t="str">
        <f aca="false">IF(C418&lt;&gt;"", L418/(1-M418), "")</f>
        <v/>
      </c>
    </row>
    <row r="419" customFormat="false" ht="12.8" hidden="false" customHeight="false" outlineLevel="0" collapsed="false">
      <c r="A419" s="1" t="s">
        <v>1792</v>
      </c>
      <c r="B419" s="31" t="s">
        <v>1793</v>
      </c>
      <c r="D419" s="32" t="str">
        <f aca="true">IF(C419&lt;&gt;"", SUM(INDEX(INDIRECT("'" &amp; B419 &amp; "'.$A$1:$Z$1000"), 0, MATCH("count", INDIRECT("'" &amp; B419 &amp; "'.$A$1:$Z$1"), 0))), "")</f>
        <v/>
      </c>
      <c r="E419" s="33" t="str">
        <f aca="true">IF(C419&lt;&gt;"", SUM(INDEX(INDIRECT("'" &amp; B419 &amp; "'.$A$1:$Z$1000"), 0, MATCH("cost", INDIRECT("'" &amp; B419 &amp; "'.$A$1:$Z$1"), 0))), "")</f>
        <v/>
      </c>
      <c r="F419" s="40" t="str">
        <f aca="true">IF(C419&lt;&gt;"", SUM(INDEX(INDIRECT("'" &amp; B419 &amp; "'.$A$1:$Z$1000"), 0, MATCH("total_assembly_time_min", INDIRECT("'" &amp; B419 &amp; "'.$A$1:$Z$1"), 0)))/60, "")</f>
        <v/>
      </c>
      <c r="G419" s="33" t="str">
        <f aca="false">IF(C419&lt;&gt;"", values!$B$2, "")</f>
        <v/>
      </c>
      <c r="H419" s="33" t="str">
        <f aca="false">IF(C419&lt;&gt;"", F419*G419, "")</f>
        <v/>
      </c>
      <c r="I419" s="33" t="str">
        <f aca="false">IF(C419&lt;&gt;"", H419+E419, "")</f>
        <v/>
      </c>
      <c r="K419" s="33" t="str">
        <f aca="false">IF(C419&lt;&gt;"", L419-I419, "")</f>
        <v/>
      </c>
      <c r="L419" s="33" t="str">
        <f aca="false">IF(C419&lt;&gt;"", I419/(1-J419), "")</f>
        <v/>
      </c>
      <c r="M419" s="33" t="str">
        <f aca="false">IF(C419&lt;&gt;"", values!$A$2, "")</f>
        <v/>
      </c>
      <c r="N419" s="33" t="str">
        <f aca="false">IF(C419&lt;&gt;"", O419-L419, "")</f>
        <v/>
      </c>
      <c r="O419" s="33" t="str">
        <f aca="false">IF(C419&lt;&gt;"", L419/(1-M419), "")</f>
        <v/>
      </c>
    </row>
    <row r="420" customFormat="false" ht="12.8" hidden="false" customHeight="false" outlineLevel="0" collapsed="false">
      <c r="A420" s="1" t="s">
        <v>1794</v>
      </c>
      <c r="B420" s="31" t="s">
        <v>1795</v>
      </c>
      <c r="D420" s="32" t="str">
        <f aca="true">IF(C420&lt;&gt;"", SUM(INDEX(INDIRECT("'" &amp; B420 &amp; "'.$A$1:$Z$1000"), 0, MATCH("count", INDIRECT("'" &amp; B420 &amp; "'.$A$1:$Z$1"), 0))), "")</f>
        <v/>
      </c>
      <c r="E420" s="33" t="str">
        <f aca="true">IF(C420&lt;&gt;"", SUM(INDEX(INDIRECT("'" &amp; B420 &amp; "'.$A$1:$Z$1000"), 0, MATCH("cost", INDIRECT("'" &amp; B420 &amp; "'.$A$1:$Z$1"), 0))), "")</f>
        <v/>
      </c>
      <c r="F420" s="40" t="str">
        <f aca="true">IF(C420&lt;&gt;"", SUM(INDEX(INDIRECT("'" &amp; B420 &amp; "'.$A$1:$Z$1000"), 0, MATCH("total_assembly_time_min", INDIRECT("'" &amp; B420 &amp; "'.$A$1:$Z$1"), 0)))/60, "")</f>
        <v/>
      </c>
      <c r="G420" s="33" t="str">
        <f aca="false">IF(C420&lt;&gt;"", values!$B$2, "")</f>
        <v/>
      </c>
      <c r="H420" s="33" t="str">
        <f aca="false">IF(C420&lt;&gt;"", F420*G420, "")</f>
        <v/>
      </c>
      <c r="I420" s="33" t="str">
        <f aca="false">IF(C420&lt;&gt;"", H420+E420, "")</f>
        <v/>
      </c>
      <c r="K420" s="33" t="str">
        <f aca="false">IF(C420&lt;&gt;"", L420-I420, "")</f>
        <v/>
      </c>
      <c r="L420" s="33" t="str">
        <f aca="false">IF(C420&lt;&gt;"", I420/(1-J420), "")</f>
        <v/>
      </c>
      <c r="M420" s="33" t="str">
        <f aca="false">IF(C420&lt;&gt;"", values!$A$2, "")</f>
        <v/>
      </c>
      <c r="N420" s="33" t="str">
        <f aca="false">IF(C420&lt;&gt;"", O420-L420, "")</f>
        <v/>
      </c>
      <c r="O420" s="33" t="str">
        <f aca="false">IF(C420&lt;&gt;"", L420/(1-M420), "")</f>
        <v/>
      </c>
    </row>
    <row r="421" customFormat="false" ht="12.8" hidden="false" customHeight="false" outlineLevel="0" collapsed="false">
      <c r="A421" s="1" t="s">
        <v>1796</v>
      </c>
      <c r="B421" s="31" t="s">
        <v>1797</v>
      </c>
      <c r="D421" s="32" t="str">
        <f aca="true">IF(C421&lt;&gt;"", SUM(INDEX(INDIRECT("'" &amp; B421 &amp; "'.$A$1:$Z$1000"), 0, MATCH("count", INDIRECT("'" &amp; B421 &amp; "'.$A$1:$Z$1"), 0))), "")</f>
        <v/>
      </c>
      <c r="E421" s="33" t="str">
        <f aca="true">IF(C421&lt;&gt;"", SUM(INDEX(INDIRECT("'" &amp; B421 &amp; "'.$A$1:$Z$1000"), 0, MATCH("cost", INDIRECT("'" &amp; B421 &amp; "'.$A$1:$Z$1"), 0))), "")</f>
        <v/>
      </c>
      <c r="F421" s="40" t="str">
        <f aca="true">IF(C421&lt;&gt;"", SUM(INDEX(INDIRECT("'" &amp; B421 &amp; "'.$A$1:$Z$1000"), 0, MATCH("total_assembly_time_min", INDIRECT("'" &amp; B421 &amp; "'.$A$1:$Z$1"), 0)))/60, "")</f>
        <v/>
      </c>
      <c r="G421" s="33" t="str">
        <f aca="false">IF(C421&lt;&gt;"", values!$B$2, "")</f>
        <v/>
      </c>
      <c r="H421" s="33" t="str">
        <f aca="false">IF(C421&lt;&gt;"", F421*G421, "")</f>
        <v/>
      </c>
      <c r="I421" s="33" t="str">
        <f aca="false">IF(C421&lt;&gt;"", H421+E421, "")</f>
        <v/>
      </c>
      <c r="K421" s="33" t="str">
        <f aca="false">IF(C421&lt;&gt;"", L421-I421, "")</f>
        <v/>
      </c>
      <c r="L421" s="33" t="str">
        <f aca="false">IF(C421&lt;&gt;"", I421/(1-J421), "")</f>
        <v/>
      </c>
      <c r="M421" s="33" t="str">
        <f aca="false">IF(C421&lt;&gt;"", values!$A$2, "")</f>
        <v/>
      </c>
      <c r="N421" s="33" t="str">
        <f aca="false">IF(C421&lt;&gt;"", O421-L421, "")</f>
        <v/>
      </c>
      <c r="O421" s="33" t="str">
        <f aca="false">IF(C421&lt;&gt;"", L421/(1-M421), "")</f>
        <v/>
      </c>
    </row>
    <row r="422" customFormat="false" ht="12.8" hidden="false" customHeight="false" outlineLevel="0" collapsed="false">
      <c r="A422" s="1" t="s">
        <v>1798</v>
      </c>
      <c r="B422" s="31" t="s">
        <v>1799</v>
      </c>
      <c r="D422" s="32" t="str">
        <f aca="true">IF(C422&lt;&gt;"", SUM(INDEX(INDIRECT("'" &amp; B422 &amp; "'.$A$1:$Z$1000"), 0, MATCH("count", INDIRECT("'" &amp; B422 &amp; "'.$A$1:$Z$1"), 0))), "")</f>
        <v/>
      </c>
      <c r="E422" s="33" t="str">
        <f aca="true">IF(C422&lt;&gt;"", SUM(INDEX(INDIRECT("'" &amp; B422 &amp; "'.$A$1:$Z$1000"), 0, MATCH("cost", INDIRECT("'" &amp; B422 &amp; "'.$A$1:$Z$1"), 0))), "")</f>
        <v/>
      </c>
      <c r="F422" s="40" t="str">
        <f aca="true">IF(C422&lt;&gt;"", SUM(INDEX(INDIRECT("'" &amp; B422 &amp; "'.$A$1:$Z$1000"), 0, MATCH("total_assembly_time_min", INDIRECT("'" &amp; B422 &amp; "'.$A$1:$Z$1"), 0)))/60, "")</f>
        <v/>
      </c>
      <c r="G422" s="33" t="str">
        <f aca="false">IF(C422&lt;&gt;"", values!$B$2, "")</f>
        <v/>
      </c>
      <c r="H422" s="33" t="str">
        <f aca="false">IF(C422&lt;&gt;"", F422*G422, "")</f>
        <v/>
      </c>
      <c r="I422" s="33" t="str">
        <f aca="false">IF(C422&lt;&gt;"", H422+E422, "")</f>
        <v/>
      </c>
      <c r="K422" s="33" t="str">
        <f aca="false">IF(C422&lt;&gt;"", L422-I422, "")</f>
        <v/>
      </c>
      <c r="L422" s="33" t="str">
        <f aca="false">IF(C422&lt;&gt;"", I422/(1-J422), "")</f>
        <v/>
      </c>
      <c r="M422" s="33" t="str">
        <f aca="false">IF(C422&lt;&gt;"", values!$A$2, "")</f>
        <v/>
      </c>
      <c r="N422" s="33" t="str">
        <f aca="false">IF(C422&lt;&gt;"", O422-L422, "")</f>
        <v/>
      </c>
      <c r="O422" s="33" t="str">
        <f aca="false">IF(C422&lt;&gt;"", L422/(1-M422), "")</f>
        <v/>
      </c>
    </row>
    <row r="423" customFormat="false" ht="12.8" hidden="false" customHeight="false" outlineLevel="0" collapsed="false">
      <c r="A423" s="1" t="s">
        <v>1800</v>
      </c>
      <c r="B423" s="31" t="s">
        <v>1801</v>
      </c>
      <c r="D423" s="32" t="str">
        <f aca="true">IF(C423&lt;&gt;"", SUM(INDEX(INDIRECT("'" &amp; B423 &amp; "'.$A$1:$Z$1000"), 0, MATCH("count", INDIRECT("'" &amp; B423 &amp; "'.$A$1:$Z$1"), 0))), "")</f>
        <v/>
      </c>
      <c r="E423" s="33" t="str">
        <f aca="true">IF(C423&lt;&gt;"", SUM(INDEX(INDIRECT("'" &amp; B423 &amp; "'.$A$1:$Z$1000"), 0, MATCH("cost", INDIRECT("'" &amp; B423 &amp; "'.$A$1:$Z$1"), 0))), "")</f>
        <v/>
      </c>
      <c r="F423" s="40" t="str">
        <f aca="true">IF(C423&lt;&gt;"", SUM(INDEX(INDIRECT("'" &amp; B423 &amp; "'.$A$1:$Z$1000"), 0, MATCH("total_assembly_time_min", INDIRECT("'" &amp; B423 &amp; "'.$A$1:$Z$1"), 0)))/60, "")</f>
        <v/>
      </c>
      <c r="G423" s="33" t="str">
        <f aca="false">IF(C423&lt;&gt;"", values!$B$2, "")</f>
        <v/>
      </c>
      <c r="H423" s="33" t="str">
        <f aca="false">IF(C423&lt;&gt;"", F423*G423, "")</f>
        <v/>
      </c>
      <c r="I423" s="33" t="str">
        <f aca="false">IF(C423&lt;&gt;"", H423+E423, "")</f>
        <v/>
      </c>
      <c r="K423" s="33" t="str">
        <f aca="false">IF(C423&lt;&gt;"", L423-I423, "")</f>
        <v/>
      </c>
      <c r="L423" s="33" t="str">
        <f aca="false">IF(C423&lt;&gt;"", I423/(1-J423), "")</f>
        <v/>
      </c>
      <c r="M423" s="33" t="str">
        <f aca="false">IF(C423&lt;&gt;"", values!$A$2, "")</f>
        <v/>
      </c>
      <c r="N423" s="33" t="str">
        <f aca="false">IF(C423&lt;&gt;"", O423-L423, "")</f>
        <v/>
      </c>
      <c r="O423" s="33" t="str">
        <f aca="false">IF(C423&lt;&gt;"", L423/(1-M423), "")</f>
        <v/>
      </c>
    </row>
    <row r="424" customFormat="false" ht="12.8" hidden="false" customHeight="false" outlineLevel="0" collapsed="false">
      <c r="A424" s="1" t="s">
        <v>1802</v>
      </c>
      <c r="B424" s="31" t="s">
        <v>1803</v>
      </c>
      <c r="D424" s="32" t="str">
        <f aca="true">IF(C424&lt;&gt;"", SUM(INDEX(INDIRECT("'" &amp; B424 &amp; "'.$A$1:$Z$1000"), 0, MATCH("count", INDIRECT("'" &amp; B424 &amp; "'.$A$1:$Z$1"), 0))), "")</f>
        <v/>
      </c>
      <c r="E424" s="33" t="str">
        <f aca="true">IF(C424&lt;&gt;"", SUM(INDEX(INDIRECT("'" &amp; B424 &amp; "'.$A$1:$Z$1000"), 0, MATCH("cost", INDIRECT("'" &amp; B424 &amp; "'.$A$1:$Z$1"), 0))), "")</f>
        <v/>
      </c>
      <c r="F424" s="40" t="str">
        <f aca="true">IF(C424&lt;&gt;"", SUM(INDEX(INDIRECT("'" &amp; B424 &amp; "'.$A$1:$Z$1000"), 0, MATCH("total_assembly_time_min", INDIRECT("'" &amp; B424 &amp; "'.$A$1:$Z$1"), 0)))/60, "")</f>
        <v/>
      </c>
      <c r="G424" s="33" t="str">
        <f aca="false">IF(C424&lt;&gt;"", values!$B$2, "")</f>
        <v/>
      </c>
      <c r="H424" s="33" t="str">
        <f aca="false">IF(C424&lt;&gt;"", F424*G424, "")</f>
        <v/>
      </c>
      <c r="I424" s="33" t="str">
        <f aca="false">IF(C424&lt;&gt;"", H424+E424, "")</f>
        <v/>
      </c>
      <c r="K424" s="33" t="str">
        <f aca="false">IF(C424&lt;&gt;"", L424-I424, "")</f>
        <v/>
      </c>
      <c r="L424" s="33" t="str">
        <f aca="false">IF(C424&lt;&gt;"", I424/(1-J424), "")</f>
        <v/>
      </c>
      <c r="M424" s="33" t="str">
        <f aca="false">IF(C424&lt;&gt;"", values!$A$2, "")</f>
        <v/>
      </c>
      <c r="N424" s="33" t="str">
        <f aca="false">IF(C424&lt;&gt;"", O424-L424, "")</f>
        <v/>
      </c>
      <c r="O424" s="33" t="str">
        <f aca="false">IF(C424&lt;&gt;"", L424/(1-M424), "")</f>
        <v/>
      </c>
    </row>
    <row r="425" customFormat="false" ht="12.8" hidden="false" customHeight="false" outlineLevel="0" collapsed="false">
      <c r="A425" s="1" t="s">
        <v>1804</v>
      </c>
      <c r="B425" s="31" t="s">
        <v>1805</v>
      </c>
      <c r="D425" s="32" t="str">
        <f aca="true">IF(C425&lt;&gt;"", SUM(INDEX(INDIRECT("'" &amp; B425 &amp; "'.$A$1:$Z$1000"), 0, MATCH("count", INDIRECT("'" &amp; B425 &amp; "'.$A$1:$Z$1"), 0))), "")</f>
        <v/>
      </c>
      <c r="E425" s="33" t="str">
        <f aca="true">IF(C425&lt;&gt;"", SUM(INDEX(INDIRECT("'" &amp; B425 &amp; "'.$A$1:$Z$1000"), 0, MATCH("cost", INDIRECT("'" &amp; B425 &amp; "'.$A$1:$Z$1"), 0))), "")</f>
        <v/>
      </c>
      <c r="F425" s="40" t="str">
        <f aca="true">IF(C425&lt;&gt;"", SUM(INDEX(INDIRECT("'" &amp; B425 &amp; "'.$A$1:$Z$1000"), 0, MATCH("total_assembly_time_min", INDIRECT("'" &amp; B425 &amp; "'.$A$1:$Z$1"), 0)))/60, "")</f>
        <v/>
      </c>
      <c r="G425" s="33" t="str">
        <f aca="false">IF(C425&lt;&gt;"", values!$B$2, "")</f>
        <v/>
      </c>
      <c r="H425" s="33" t="str">
        <f aca="false">IF(C425&lt;&gt;"", F425*G425, "")</f>
        <v/>
      </c>
      <c r="I425" s="33" t="str">
        <f aca="false">IF(C425&lt;&gt;"", H425+E425, "")</f>
        <v/>
      </c>
      <c r="K425" s="33" t="str">
        <f aca="false">IF(C425&lt;&gt;"", L425-I425, "")</f>
        <v/>
      </c>
      <c r="L425" s="33" t="str">
        <f aca="false">IF(C425&lt;&gt;"", I425/(1-J425), "")</f>
        <v/>
      </c>
      <c r="M425" s="33" t="str">
        <f aca="false">IF(C425&lt;&gt;"", values!$A$2, "")</f>
        <v/>
      </c>
      <c r="N425" s="33" t="str">
        <f aca="false">IF(C425&lt;&gt;"", O425-L425, "")</f>
        <v/>
      </c>
      <c r="O425" s="33" t="str">
        <f aca="false">IF(C425&lt;&gt;"", L425/(1-M425), "")</f>
        <v/>
      </c>
    </row>
    <row r="426" customFormat="false" ht="12.8" hidden="false" customHeight="false" outlineLevel="0" collapsed="false">
      <c r="A426" s="1" t="s">
        <v>1806</v>
      </c>
      <c r="B426" s="31" t="s">
        <v>1807</v>
      </c>
      <c r="D426" s="32" t="str">
        <f aca="true">IF(C426&lt;&gt;"", SUM(INDEX(INDIRECT("'" &amp; B426 &amp; "'.$A$1:$Z$1000"), 0, MATCH("count", INDIRECT("'" &amp; B426 &amp; "'.$A$1:$Z$1"), 0))), "")</f>
        <v/>
      </c>
      <c r="E426" s="33" t="str">
        <f aca="true">IF(C426&lt;&gt;"", SUM(INDEX(INDIRECT("'" &amp; B426 &amp; "'.$A$1:$Z$1000"), 0, MATCH("cost", INDIRECT("'" &amp; B426 &amp; "'.$A$1:$Z$1"), 0))), "")</f>
        <v/>
      </c>
      <c r="F426" s="40" t="str">
        <f aca="true">IF(C426&lt;&gt;"", SUM(INDEX(INDIRECT("'" &amp; B426 &amp; "'.$A$1:$Z$1000"), 0, MATCH("total_assembly_time_min", INDIRECT("'" &amp; B426 &amp; "'.$A$1:$Z$1"), 0)))/60, "")</f>
        <v/>
      </c>
      <c r="G426" s="33" t="str">
        <f aca="false">IF(C426&lt;&gt;"", values!$B$2, "")</f>
        <v/>
      </c>
      <c r="H426" s="33" t="str">
        <f aca="false">IF(C426&lt;&gt;"", F426*G426, "")</f>
        <v/>
      </c>
      <c r="I426" s="33" t="str">
        <f aca="false">IF(C426&lt;&gt;"", H426+E426, "")</f>
        <v/>
      </c>
      <c r="K426" s="33" t="str">
        <f aca="false">IF(C426&lt;&gt;"", L426-I426, "")</f>
        <v/>
      </c>
      <c r="L426" s="33" t="str">
        <f aca="false">IF(C426&lt;&gt;"", I426/(1-J426), "")</f>
        <v/>
      </c>
      <c r="M426" s="33" t="str">
        <f aca="false">IF(C426&lt;&gt;"", values!$A$2, "")</f>
        <v/>
      </c>
      <c r="N426" s="33" t="str">
        <f aca="false">IF(C426&lt;&gt;"", O426-L426, "")</f>
        <v/>
      </c>
      <c r="O426" s="33" t="str">
        <f aca="false">IF(C426&lt;&gt;"", L426/(1-M426), "")</f>
        <v/>
      </c>
    </row>
    <row r="427" customFormat="false" ht="12.8" hidden="false" customHeight="false" outlineLevel="0" collapsed="false">
      <c r="A427" s="1" t="s">
        <v>1808</v>
      </c>
      <c r="B427" s="31" t="s">
        <v>1809</v>
      </c>
      <c r="D427" s="32" t="str">
        <f aca="true">IF(C427&lt;&gt;"", SUM(INDEX(INDIRECT("'" &amp; B427 &amp; "'.$A$1:$Z$1000"), 0, MATCH("count", INDIRECT("'" &amp; B427 &amp; "'.$A$1:$Z$1"), 0))), "")</f>
        <v/>
      </c>
      <c r="E427" s="33" t="str">
        <f aca="true">IF(C427&lt;&gt;"", SUM(INDEX(INDIRECT("'" &amp; B427 &amp; "'.$A$1:$Z$1000"), 0, MATCH("cost", INDIRECT("'" &amp; B427 &amp; "'.$A$1:$Z$1"), 0))), "")</f>
        <v/>
      </c>
      <c r="F427" s="40" t="str">
        <f aca="true">IF(C427&lt;&gt;"", SUM(INDEX(INDIRECT("'" &amp; B427 &amp; "'.$A$1:$Z$1000"), 0, MATCH("total_assembly_time_min", INDIRECT("'" &amp; B427 &amp; "'.$A$1:$Z$1"), 0)))/60, "")</f>
        <v/>
      </c>
      <c r="G427" s="33" t="str">
        <f aca="false">IF(C427&lt;&gt;"", values!$B$2, "")</f>
        <v/>
      </c>
      <c r="H427" s="33" t="str">
        <f aca="false">IF(C427&lt;&gt;"", F427*G427, "")</f>
        <v/>
      </c>
      <c r="I427" s="33" t="str">
        <f aca="false">IF(C427&lt;&gt;"", H427+E427, "")</f>
        <v/>
      </c>
      <c r="K427" s="33" t="str">
        <f aca="false">IF(C427&lt;&gt;"", L427-I427, "")</f>
        <v/>
      </c>
      <c r="L427" s="33" t="str">
        <f aca="false">IF(C427&lt;&gt;"", I427/(1-J427), "")</f>
        <v/>
      </c>
      <c r="M427" s="33" t="str">
        <f aca="false">IF(C427&lt;&gt;"", values!$A$2, "")</f>
        <v/>
      </c>
      <c r="N427" s="33" t="str">
        <f aca="false">IF(C427&lt;&gt;"", O427-L427, "")</f>
        <v/>
      </c>
      <c r="O427" s="33" t="str">
        <f aca="false">IF(C427&lt;&gt;"", L427/(1-M427), "")</f>
        <v/>
      </c>
    </row>
    <row r="428" customFormat="false" ht="12.8" hidden="false" customHeight="false" outlineLevel="0" collapsed="false">
      <c r="A428" s="1" t="s">
        <v>1810</v>
      </c>
      <c r="B428" s="31" t="s">
        <v>1811</v>
      </c>
      <c r="D428" s="32" t="str">
        <f aca="true">IF(C428&lt;&gt;"", SUM(INDEX(INDIRECT("'" &amp; B428 &amp; "'.$A$1:$Z$1000"), 0, MATCH("count", INDIRECT("'" &amp; B428 &amp; "'.$A$1:$Z$1"), 0))), "")</f>
        <v/>
      </c>
      <c r="E428" s="33" t="str">
        <f aca="true">IF(C428&lt;&gt;"", SUM(INDEX(INDIRECT("'" &amp; B428 &amp; "'.$A$1:$Z$1000"), 0, MATCH("cost", INDIRECT("'" &amp; B428 &amp; "'.$A$1:$Z$1"), 0))), "")</f>
        <v/>
      </c>
      <c r="F428" s="40" t="str">
        <f aca="true">IF(C428&lt;&gt;"", SUM(INDEX(INDIRECT("'" &amp; B428 &amp; "'.$A$1:$Z$1000"), 0, MATCH("total_assembly_time_min", INDIRECT("'" &amp; B428 &amp; "'.$A$1:$Z$1"), 0)))/60, "")</f>
        <v/>
      </c>
      <c r="G428" s="33" t="str">
        <f aca="false">IF(C428&lt;&gt;"", values!$B$2, "")</f>
        <v/>
      </c>
      <c r="H428" s="33" t="str">
        <f aca="false">IF(C428&lt;&gt;"", F428*G428, "")</f>
        <v/>
      </c>
      <c r="I428" s="33" t="str">
        <f aca="false">IF(C428&lt;&gt;"", H428+E428, "")</f>
        <v/>
      </c>
      <c r="K428" s="33" t="str">
        <f aca="false">IF(C428&lt;&gt;"", L428-I428, "")</f>
        <v/>
      </c>
      <c r="L428" s="33" t="str">
        <f aca="false">IF(C428&lt;&gt;"", I428/(1-J428), "")</f>
        <v/>
      </c>
      <c r="M428" s="33" t="str">
        <f aca="false">IF(C428&lt;&gt;"", values!$A$2, "")</f>
        <v/>
      </c>
      <c r="N428" s="33" t="str">
        <f aca="false">IF(C428&lt;&gt;"", O428-L428, "")</f>
        <v/>
      </c>
      <c r="O428" s="33" t="str">
        <f aca="false">IF(C428&lt;&gt;"", L428/(1-M428), "")</f>
        <v/>
      </c>
    </row>
    <row r="429" customFormat="false" ht="12.8" hidden="false" customHeight="false" outlineLevel="0" collapsed="false">
      <c r="A429" s="1" t="s">
        <v>1812</v>
      </c>
      <c r="B429" s="31" t="s">
        <v>1813</v>
      </c>
      <c r="D429" s="32" t="str">
        <f aca="true">IF(C429&lt;&gt;"", SUM(INDEX(INDIRECT("'" &amp; B429 &amp; "'.$A$1:$Z$1000"), 0, MATCH("count", INDIRECT("'" &amp; B429 &amp; "'.$A$1:$Z$1"), 0))), "")</f>
        <v/>
      </c>
      <c r="E429" s="33" t="str">
        <f aca="true">IF(C429&lt;&gt;"", SUM(INDEX(INDIRECT("'" &amp; B429 &amp; "'.$A$1:$Z$1000"), 0, MATCH("cost", INDIRECT("'" &amp; B429 &amp; "'.$A$1:$Z$1"), 0))), "")</f>
        <v/>
      </c>
      <c r="F429" s="40" t="str">
        <f aca="true">IF(C429&lt;&gt;"", SUM(INDEX(INDIRECT("'" &amp; B429 &amp; "'.$A$1:$Z$1000"), 0, MATCH("total_assembly_time_min", INDIRECT("'" &amp; B429 &amp; "'.$A$1:$Z$1"), 0)))/60, "")</f>
        <v/>
      </c>
      <c r="G429" s="33" t="str">
        <f aca="false">IF(C429&lt;&gt;"", values!$B$2, "")</f>
        <v/>
      </c>
      <c r="H429" s="33" t="str">
        <f aca="false">IF(C429&lt;&gt;"", F429*G429, "")</f>
        <v/>
      </c>
      <c r="I429" s="33" t="str">
        <f aca="false">IF(C429&lt;&gt;"", H429+E429, "")</f>
        <v/>
      </c>
      <c r="K429" s="33" t="str">
        <f aca="false">IF(C429&lt;&gt;"", L429-I429, "")</f>
        <v/>
      </c>
      <c r="L429" s="33" t="str">
        <f aca="false">IF(C429&lt;&gt;"", I429/(1-J429), "")</f>
        <v/>
      </c>
      <c r="M429" s="33" t="str">
        <f aca="false">IF(C429&lt;&gt;"", values!$A$2, "")</f>
        <v/>
      </c>
      <c r="N429" s="33" t="str">
        <f aca="false">IF(C429&lt;&gt;"", O429-L429, "")</f>
        <v/>
      </c>
      <c r="O429" s="33" t="str">
        <f aca="false">IF(C429&lt;&gt;"", L429/(1-M429), "")</f>
        <v/>
      </c>
    </row>
    <row r="430" customFormat="false" ht="12.8" hidden="false" customHeight="false" outlineLevel="0" collapsed="false">
      <c r="A430" s="1" t="s">
        <v>1814</v>
      </c>
      <c r="B430" s="31" t="s">
        <v>1815</v>
      </c>
      <c r="D430" s="32" t="str">
        <f aca="true">IF(C430&lt;&gt;"", SUM(INDEX(INDIRECT("'" &amp; B430 &amp; "'.$A$1:$Z$1000"), 0, MATCH("count", INDIRECT("'" &amp; B430 &amp; "'.$A$1:$Z$1"), 0))), "")</f>
        <v/>
      </c>
      <c r="E430" s="33" t="str">
        <f aca="true">IF(C430&lt;&gt;"", SUM(INDEX(INDIRECT("'" &amp; B430 &amp; "'.$A$1:$Z$1000"), 0, MATCH("cost", INDIRECT("'" &amp; B430 &amp; "'.$A$1:$Z$1"), 0))), "")</f>
        <v/>
      </c>
      <c r="F430" s="40" t="str">
        <f aca="true">IF(C430&lt;&gt;"", SUM(INDEX(INDIRECT("'" &amp; B430 &amp; "'.$A$1:$Z$1000"), 0, MATCH("total_assembly_time_min", INDIRECT("'" &amp; B430 &amp; "'.$A$1:$Z$1"), 0)))/60, "")</f>
        <v/>
      </c>
      <c r="G430" s="33" t="str">
        <f aca="false">IF(C430&lt;&gt;"", values!$B$2, "")</f>
        <v/>
      </c>
      <c r="H430" s="33" t="str">
        <f aca="false">IF(C430&lt;&gt;"", F430*G430, "")</f>
        <v/>
      </c>
      <c r="I430" s="33" t="str">
        <f aca="false">IF(C430&lt;&gt;"", H430+E430, "")</f>
        <v/>
      </c>
      <c r="K430" s="33" t="str">
        <f aca="false">IF(C430&lt;&gt;"", L430-I430, "")</f>
        <v/>
      </c>
      <c r="L430" s="33" t="str">
        <f aca="false">IF(C430&lt;&gt;"", I430/(1-J430), "")</f>
        <v/>
      </c>
      <c r="M430" s="33" t="str">
        <f aca="false">IF(C430&lt;&gt;"", values!$A$2, "")</f>
        <v/>
      </c>
      <c r="N430" s="33" t="str">
        <f aca="false">IF(C430&lt;&gt;"", O430-L430, "")</f>
        <v/>
      </c>
      <c r="O430" s="33" t="str">
        <f aca="false">IF(C430&lt;&gt;"", L430/(1-M430), "")</f>
        <v/>
      </c>
    </row>
    <row r="431" customFormat="false" ht="12.8" hidden="false" customHeight="false" outlineLevel="0" collapsed="false">
      <c r="A431" s="1" t="s">
        <v>1816</v>
      </c>
      <c r="B431" s="31" t="s">
        <v>1817</v>
      </c>
      <c r="D431" s="32" t="str">
        <f aca="true">IF(C431&lt;&gt;"", SUM(INDEX(INDIRECT("'" &amp; B431 &amp; "'.$A$1:$Z$1000"), 0, MATCH("count", INDIRECT("'" &amp; B431 &amp; "'.$A$1:$Z$1"), 0))), "")</f>
        <v/>
      </c>
      <c r="E431" s="33" t="str">
        <f aca="true">IF(C431&lt;&gt;"", SUM(INDEX(INDIRECT("'" &amp; B431 &amp; "'.$A$1:$Z$1000"), 0, MATCH("cost", INDIRECT("'" &amp; B431 &amp; "'.$A$1:$Z$1"), 0))), "")</f>
        <v/>
      </c>
      <c r="F431" s="40" t="str">
        <f aca="true">IF(C431&lt;&gt;"", SUM(INDEX(INDIRECT("'" &amp; B431 &amp; "'.$A$1:$Z$1000"), 0, MATCH("total_assembly_time_min", INDIRECT("'" &amp; B431 &amp; "'.$A$1:$Z$1"), 0)))/60, "")</f>
        <v/>
      </c>
      <c r="G431" s="33" t="str">
        <f aca="false">IF(C431&lt;&gt;"", values!$B$2, "")</f>
        <v/>
      </c>
      <c r="H431" s="33" t="str">
        <f aca="false">IF(C431&lt;&gt;"", F431*G431, "")</f>
        <v/>
      </c>
      <c r="I431" s="33" t="str">
        <f aca="false">IF(C431&lt;&gt;"", H431+E431, "")</f>
        <v/>
      </c>
      <c r="K431" s="33" t="str">
        <f aca="false">IF(C431&lt;&gt;"", L431-I431, "")</f>
        <v/>
      </c>
      <c r="L431" s="33" t="str">
        <f aca="false">IF(C431&lt;&gt;"", I431/(1-J431), "")</f>
        <v/>
      </c>
      <c r="M431" s="33" t="str">
        <f aca="false">IF(C431&lt;&gt;"", values!$A$2, "")</f>
        <v/>
      </c>
      <c r="N431" s="33" t="str">
        <f aca="false">IF(C431&lt;&gt;"", O431-L431, "")</f>
        <v/>
      </c>
      <c r="O431" s="33" t="str">
        <f aca="false">IF(C431&lt;&gt;"", L431/(1-M431), "")</f>
        <v/>
      </c>
    </row>
    <row r="432" customFormat="false" ht="12.8" hidden="false" customHeight="false" outlineLevel="0" collapsed="false">
      <c r="A432" s="1" t="s">
        <v>1818</v>
      </c>
      <c r="B432" s="31" t="s">
        <v>1819</v>
      </c>
      <c r="D432" s="32" t="str">
        <f aca="true">IF(C432&lt;&gt;"", SUM(INDEX(INDIRECT("'" &amp; B432 &amp; "'.$A$1:$Z$1000"), 0, MATCH("count", INDIRECT("'" &amp; B432 &amp; "'.$A$1:$Z$1"), 0))), "")</f>
        <v/>
      </c>
      <c r="E432" s="33" t="str">
        <f aca="true">IF(C432&lt;&gt;"", SUM(INDEX(INDIRECT("'" &amp; B432 &amp; "'.$A$1:$Z$1000"), 0, MATCH("cost", INDIRECT("'" &amp; B432 &amp; "'.$A$1:$Z$1"), 0))), "")</f>
        <v/>
      </c>
      <c r="F432" s="40" t="str">
        <f aca="true">IF(C432&lt;&gt;"", SUM(INDEX(INDIRECT("'" &amp; B432 &amp; "'.$A$1:$Z$1000"), 0, MATCH("total_assembly_time_min", INDIRECT("'" &amp; B432 &amp; "'.$A$1:$Z$1"), 0)))/60, "")</f>
        <v/>
      </c>
      <c r="G432" s="33" t="str">
        <f aca="false">IF(C432&lt;&gt;"", values!$B$2, "")</f>
        <v/>
      </c>
      <c r="H432" s="33" t="str">
        <f aca="false">IF(C432&lt;&gt;"", F432*G432, "")</f>
        <v/>
      </c>
      <c r="I432" s="33" t="str">
        <f aca="false">IF(C432&lt;&gt;"", H432+E432, "")</f>
        <v/>
      </c>
      <c r="K432" s="33" t="str">
        <f aca="false">IF(C432&lt;&gt;"", L432-I432, "")</f>
        <v/>
      </c>
      <c r="L432" s="33" t="str">
        <f aca="false">IF(C432&lt;&gt;"", I432/(1-J432), "")</f>
        <v/>
      </c>
      <c r="M432" s="33" t="str">
        <f aca="false">IF(C432&lt;&gt;"", values!$A$2, "")</f>
        <v/>
      </c>
      <c r="N432" s="33" t="str">
        <f aca="false">IF(C432&lt;&gt;"", O432-L432, "")</f>
        <v/>
      </c>
      <c r="O432" s="33" t="str">
        <f aca="false">IF(C432&lt;&gt;"", L432/(1-M432), "")</f>
        <v/>
      </c>
    </row>
    <row r="433" customFormat="false" ht="12.8" hidden="false" customHeight="false" outlineLevel="0" collapsed="false">
      <c r="A433" s="1" t="s">
        <v>1820</v>
      </c>
      <c r="B433" s="31" t="s">
        <v>1821</v>
      </c>
      <c r="D433" s="32" t="str">
        <f aca="true">IF(C433&lt;&gt;"", SUM(INDEX(INDIRECT("'" &amp; B433 &amp; "'.$A$1:$Z$1000"), 0, MATCH("count", INDIRECT("'" &amp; B433 &amp; "'.$A$1:$Z$1"), 0))), "")</f>
        <v/>
      </c>
      <c r="E433" s="33" t="str">
        <f aca="true">IF(C433&lt;&gt;"", SUM(INDEX(INDIRECT("'" &amp; B433 &amp; "'.$A$1:$Z$1000"), 0, MATCH("cost", INDIRECT("'" &amp; B433 &amp; "'.$A$1:$Z$1"), 0))), "")</f>
        <v/>
      </c>
      <c r="F433" s="40" t="str">
        <f aca="true">IF(C433&lt;&gt;"", SUM(INDEX(INDIRECT("'" &amp; B433 &amp; "'.$A$1:$Z$1000"), 0, MATCH("total_assembly_time_min", INDIRECT("'" &amp; B433 &amp; "'.$A$1:$Z$1"), 0)))/60, "")</f>
        <v/>
      </c>
      <c r="G433" s="33" t="str">
        <f aca="false">IF(C433&lt;&gt;"", values!$B$2, "")</f>
        <v/>
      </c>
      <c r="H433" s="33" t="str">
        <f aca="false">IF(C433&lt;&gt;"", F433*G433, "")</f>
        <v/>
      </c>
      <c r="I433" s="33" t="str">
        <f aca="false">IF(C433&lt;&gt;"", H433+E433, "")</f>
        <v/>
      </c>
      <c r="K433" s="33" t="str">
        <f aca="false">IF(C433&lt;&gt;"", L433-I433, "")</f>
        <v/>
      </c>
      <c r="L433" s="33" t="str">
        <f aca="false">IF(C433&lt;&gt;"", I433/(1-J433), "")</f>
        <v/>
      </c>
      <c r="M433" s="33" t="str">
        <f aca="false">IF(C433&lt;&gt;"", values!$A$2, "")</f>
        <v/>
      </c>
      <c r="N433" s="33" t="str">
        <f aca="false">IF(C433&lt;&gt;"", O433-L433, "")</f>
        <v/>
      </c>
      <c r="O433" s="33" t="str">
        <f aca="false">IF(C433&lt;&gt;"", L433/(1-M433), "")</f>
        <v/>
      </c>
    </row>
    <row r="434" customFormat="false" ht="12.8" hidden="false" customHeight="false" outlineLevel="0" collapsed="false">
      <c r="A434" s="1" t="s">
        <v>1822</v>
      </c>
      <c r="B434" s="31" t="s">
        <v>1823</v>
      </c>
      <c r="D434" s="32" t="str">
        <f aca="true">IF(C434&lt;&gt;"", SUM(INDEX(INDIRECT("'" &amp; B434 &amp; "'.$A$1:$Z$1000"), 0, MATCH("count", INDIRECT("'" &amp; B434 &amp; "'.$A$1:$Z$1"), 0))), "")</f>
        <v/>
      </c>
      <c r="E434" s="33" t="str">
        <f aca="true">IF(C434&lt;&gt;"", SUM(INDEX(INDIRECT("'" &amp; B434 &amp; "'.$A$1:$Z$1000"), 0, MATCH("cost", INDIRECT("'" &amp; B434 &amp; "'.$A$1:$Z$1"), 0))), "")</f>
        <v/>
      </c>
      <c r="F434" s="40" t="str">
        <f aca="true">IF(C434&lt;&gt;"", SUM(INDEX(INDIRECT("'" &amp; B434 &amp; "'.$A$1:$Z$1000"), 0, MATCH("total_assembly_time_min", INDIRECT("'" &amp; B434 &amp; "'.$A$1:$Z$1"), 0)))/60, "")</f>
        <v/>
      </c>
      <c r="G434" s="33" t="str">
        <f aca="false">IF(C434&lt;&gt;"", values!$B$2, "")</f>
        <v/>
      </c>
      <c r="H434" s="33" t="str">
        <f aca="false">IF(C434&lt;&gt;"", F434*G434, "")</f>
        <v/>
      </c>
      <c r="I434" s="33" t="str">
        <f aca="false">IF(C434&lt;&gt;"", H434+E434, "")</f>
        <v/>
      </c>
      <c r="K434" s="33" t="str">
        <f aca="false">IF(C434&lt;&gt;"", L434-I434, "")</f>
        <v/>
      </c>
      <c r="L434" s="33" t="str">
        <f aca="false">IF(C434&lt;&gt;"", I434/(1-J434), "")</f>
        <v/>
      </c>
      <c r="M434" s="33" t="str">
        <f aca="false">IF(C434&lt;&gt;"", values!$A$2, "")</f>
        <v/>
      </c>
      <c r="N434" s="33" t="str">
        <f aca="false">IF(C434&lt;&gt;"", O434-L434, "")</f>
        <v/>
      </c>
      <c r="O434" s="33" t="str">
        <f aca="false">IF(C434&lt;&gt;"", L434/(1-M434), "")</f>
        <v/>
      </c>
    </row>
    <row r="435" customFormat="false" ht="12.8" hidden="false" customHeight="false" outlineLevel="0" collapsed="false">
      <c r="A435" s="1" t="s">
        <v>1824</v>
      </c>
      <c r="B435" s="31" t="s">
        <v>1825</v>
      </c>
      <c r="D435" s="32" t="str">
        <f aca="true">IF(C435&lt;&gt;"", SUM(INDEX(INDIRECT("'" &amp; B435 &amp; "'.$A$1:$Z$1000"), 0, MATCH("count", INDIRECT("'" &amp; B435 &amp; "'.$A$1:$Z$1"), 0))), "")</f>
        <v/>
      </c>
      <c r="E435" s="33" t="str">
        <f aca="true">IF(C435&lt;&gt;"", SUM(INDEX(INDIRECT("'" &amp; B435 &amp; "'.$A$1:$Z$1000"), 0, MATCH("cost", INDIRECT("'" &amp; B435 &amp; "'.$A$1:$Z$1"), 0))), "")</f>
        <v/>
      </c>
      <c r="F435" s="40" t="str">
        <f aca="true">IF(C435&lt;&gt;"", SUM(INDEX(INDIRECT("'" &amp; B435 &amp; "'.$A$1:$Z$1000"), 0, MATCH("total_assembly_time_min", INDIRECT("'" &amp; B435 &amp; "'.$A$1:$Z$1"), 0)))/60, "")</f>
        <v/>
      </c>
      <c r="G435" s="33" t="str">
        <f aca="false">IF(C435&lt;&gt;"", values!$B$2, "")</f>
        <v/>
      </c>
      <c r="H435" s="33" t="str">
        <f aca="false">IF(C435&lt;&gt;"", F435*G435, "")</f>
        <v/>
      </c>
      <c r="I435" s="33" t="str">
        <f aca="false">IF(C435&lt;&gt;"", H435+E435, "")</f>
        <v/>
      </c>
      <c r="K435" s="33" t="str">
        <f aca="false">IF(C435&lt;&gt;"", L435-I435, "")</f>
        <v/>
      </c>
      <c r="L435" s="33" t="str">
        <f aca="false">IF(C435&lt;&gt;"", I435/(1-J435), "")</f>
        <v/>
      </c>
      <c r="M435" s="33" t="str">
        <f aca="false">IF(C435&lt;&gt;"", values!$A$2, "")</f>
        <v/>
      </c>
      <c r="N435" s="33" t="str">
        <f aca="false">IF(C435&lt;&gt;"", O435-L435, "")</f>
        <v/>
      </c>
      <c r="O435" s="33" t="str">
        <f aca="false">IF(C435&lt;&gt;"", L435/(1-M435), "")</f>
        <v/>
      </c>
    </row>
    <row r="436" customFormat="false" ht="12.8" hidden="false" customHeight="false" outlineLevel="0" collapsed="false">
      <c r="A436" s="1" t="s">
        <v>1826</v>
      </c>
      <c r="B436" s="31" t="s">
        <v>1827</v>
      </c>
      <c r="D436" s="32" t="str">
        <f aca="true">IF(C436&lt;&gt;"", SUM(INDEX(INDIRECT("'" &amp; B436 &amp; "'.$A$1:$Z$1000"), 0, MATCH("count", INDIRECT("'" &amp; B436 &amp; "'.$A$1:$Z$1"), 0))), "")</f>
        <v/>
      </c>
      <c r="E436" s="33" t="str">
        <f aca="true">IF(C436&lt;&gt;"", SUM(INDEX(INDIRECT("'" &amp; B436 &amp; "'.$A$1:$Z$1000"), 0, MATCH("cost", INDIRECT("'" &amp; B436 &amp; "'.$A$1:$Z$1"), 0))), "")</f>
        <v/>
      </c>
      <c r="F436" s="40" t="str">
        <f aca="true">IF(C436&lt;&gt;"", SUM(INDEX(INDIRECT("'" &amp; B436 &amp; "'.$A$1:$Z$1000"), 0, MATCH("total_assembly_time_min", INDIRECT("'" &amp; B436 &amp; "'.$A$1:$Z$1"), 0)))/60, "")</f>
        <v/>
      </c>
      <c r="G436" s="33" t="str">
        <f aca="false">IF(C436&lt;&gt;"", values!$B$2, "")</f>
        <v/>
      </c>
      <c r="H436" s="33" t="str">
        <f aca="false">IF(C436&lt;&gt;"", F436*G436, "")</f>
        <v/>
      </c>
      <c r="I436" s="33" t="str">
        <f aca="false">IF(C436&lt;&gt;"", H436+E436, "")</f>
        <v/>
      </c>
      <c r="K436" s="33" t="str">
        <f aca="false">IF(C436&lt;&gt;"", L436-I436, "")</f>
        <v/>
      </c>
      <c r="L436" s="33" t="str">
        <f aca="false">IF(C436&lt;&gt;"", I436/(1-J436), "")</f>
        <v/>
      </c>
      <c r="M436" s="33" t="str">
        <f aca="false">IF(C436&lt;&gt;"", values!$A$2, "")</f>
        <v/>
      </c>
      <c r="N436" s="33" t="str">
        <f aca="false">IF(C436&lt;&gt;"", O436-L436, "")</f>
        <v/>
      </c>
      <c r="O436" s="33" t="str">
        <f aca="false">IF(C436&lt;&gt;"", L436/(1-M436), "")</f>
        <v/>
      </c>
    </row>
    <row r="437" customFormat="false" ht="12.8" hidden="false" customHeight="false" outlineLevel="0" collapsed="false">
      <c r="A437" s="1" t="s">
        <v>1828</v>
      </c>
      <c r="B437" s="31" t="s">
        <v>1829</v>
      </c>
      <c r="D437" s="32" t="str">
        <f aca="true">IF(C437&lt;&gt;"", SUM(INDEX(INDIRECT("'" &amp; B437 &amp; "'.$A$1:$Z$1000"), 0, MATCH("count", INDIRECT("'" &amp; B437 &amp; "'.$A$1:$Z$1"), 0))), "")</f>
        <v/>
      </c>
      <c r="E437" s="33" t="str">
        <f aca="true">IF(C437&lt;&gt;"", SUM(INDEX(INDIRECT("'" &amp; B437 &amp; "'.$A$1:$Z$1000"), 0, MATCH("cost", INDIRECT("'" &amp; B437 &amp; "'.$A$1:$Z$1"), 0))), "")</f>
        <v/>
      </c>
      <c r="F437" s="40" t="str">
        <f aca="true">IF(C437&lt;&gt;"", SUM(INDEX(INDIRECT("'" &amp; B437 &amp; "'.$A$1:$Z$1000"), 0, MATCH("total_assembly_time_min", INDIRECT("'" &amp; B437 &amp; "'.$A$1:$Z$1"), 0)))/60, "")</f>
        <v/>
      </c>
      <c r="G437" s="33" t="str">
        <f aca="false">IF(C437&lt;&gt;"", values!$B$2, "")</f>
        <v/>
      </c>
      <c r="H437" s="33" t="str">
        <f aca="false">IF(C437&lt;&gt;"", F437*G437, "")</f>
        <v/>
      </c>
      <c r="I437" s="33" t="str">
        <f aca="false">IF(C437&lt;&gt;"", H437+E437, "")</f>
        <v/>
      </c>
      <c r="K437" s="33" t="str">
        <f aca="false">IF(C437&lt;&gt;"", L437-I437, "")</f>
        <v/>
      </c>
      <c r="L437" s="33" t="str">
        <f aca="false">IF(C437&lt;&gt;"", I437/(1-J437), "")</f>
        <v/>
      </c>
      <c r="M437" s="33" t="str">
        <f aca="false">IF(C437&lt;&gt;"", values!$A$2, "")</f>
        <v/>
      </c>
      <c r="N437" s="33" t="str">
        <f aca="false">IF(C437&lt;&gt;"", O437-L437, "")</f>
        <v/>
      </c>
      <c r="O437" s="33" t="str">
        <f aca="false">IF(C437&lt;&gt;"", L437/(1-M437), "")</f>
        <v/>
      </c>
    </row>
    <row r="438" customFormat="false" ht="12.8" hidden="false" customHeight="false" outlineLevel="0" collapsed="false">
      <c r="A438" s="1" t="s">
        <v>1830</v>
      </c>
      <c r="B438" s="31" t="s">
        <v>1831</v>
      </c>
      <c r="D438" s="32" t="str">
        <f aca="true">IF(C438&lt;&gt;"", SUM(INDEX(INDIRECT("'" &amp; B438 &amp; "'.$A$1:$Z$1000"), 0, MATCH("count", INDIRECT("'" &amp; B438 &amp; "'.$A$1:$Z$1"), 0))), "")</f>
        <v/>
      </c>
      <c r="E438" s="33" t="str">
        <f aca="true">IF(C438&lt;&gt;"", SUM(INDEX(INDIRECT("'" &amp; B438 &amp; "'.$A$1:$Z$1000"), 0, MATCH("cost", INDIRECT("'" &amp; B438 &amp; "'.$A$1:$Z$1"), 0))), "")</f>
        <v/>
      </c>
      <c r="F438" s="40" t="str">
        <f aca="true">IF(C438&lt;&gt;"", SUM(INDEX(INDIRECT("'" &amp; B438 &amp; "'.$A$1:$Z$1000"), 0, MATCH("total_assembly_time_min", INDIRECT("'" &amp; B438 &amp; "'.$A$1:$Z$1"), 0)))/60, "")</f>
        <v/>
      </c>
      <c r="G438" s="33" t="str">
        <f aca="false">IF(C438&lt;&gt;"", values!$B$2, "")</f>
        <v/>
      </c>
      <c r="H438" s="33" t="str">
        <f aca="false">IF(C438&lt;&gt;"", F438*G438, "")</f>
        <v/>
      </c>
      <c r="I438" s="33" t="str">
        <f aca="false">IF(C438&lt;&gt;"", H438+E438, "")</f>
        <v/>
      </c>
      <c r="K438" s="33" t="str">
        <f aca="false">IF(C438&lt;&gt;"", L438-I438, "")</f>
        <v/>
      </c>
      <c r="L438" s="33" t="str">
        <f aca="false">IF(C438&lt;&gt;"", I438/(1-J438), "")</f>
        <v/>
      </c>
      <c r="M438" s="33" t="str">
        <f aca="false">IF(C438&lt;&gt;"", values!$A$2, "")</f>
        <v/>
      </c>
      <c r="N438" s="33" t="str">
        <f aca="false">IF(C438&lt;&gt;"", O438-L438, "")</f>
        <v/>
      </c>
      <c r="O438" s="33" t="str">
        <f aca="false">IF(C438&lt;&gt;"", L438/(1-M438), "")</f>
        <v/>
      </c>
    </row>
    <row r="439" customFormat="false" ht="12.8" hidden="false" customHeight="false" outlineLevel="0" collapsed="false">
      <c r="A439" s="1" t="s">
        <v>1832</v>
      </c>
      <c r="B439" s="31" t="s">
        <v>1833</v>
      </c>
      <c r="D439" s="32" t="str">
        <f aca="true">IF(C439&lt;&gt;"", SUM(INDEX(INDIRECT("'" &amp; B439 &amp; "'.$A$1:$Z$1000"), 0, MATCH("count", INDIRECT("'" &amp; B439 &amp; "'.$A$1:$Z$1"), 0))), "")</f>
        <v/>
      </c>
      <c r="E439" s="33" t="str">
        <f aca="true">IF(C439&lt;&gt;"", SUM(INDEX(INDIRECT("'" &amp; B439 &amp; "'.$A$1:$Z$1000"), 0, MATCH("cost", INDIRECT("'" &amp; B439 &amp; "'.$A$1:$Z$1"), 0))), "")</f>
        <v/>
      </c>
      <c r="F439" s="40" t="str">
        <f aca="true">IF(C439&lt;&gt;"", SUM(INDEX(INDIRECT("'" &amp; B439 &amp; "'.$A$1:$Z$1000"), 0, MATCH("total_assembly_time_min", INDIRECT("'" &amp; B439 &amp; "'.$A$1:$Z$1"), 0)))/60, "")</f>
        <v/>
      </c>
      <c r="G439" s="33" t="str">
        <f aca="false">IF(C439&lt;&gt;"", values!$B$2, "")</f>
        <v/>
      </c>
      <c r="H439" s="33" t="str">
        <f aca="false">IF(C439&lt;&gt;"", F439*G439, "")</f>
        <v/>
      </c>
      <c r="I439" s="33" t="str">
        <f aca="false">IF(C439&lt;&gt;"", H439+E439, "")</f>
        <v/>
      </c>
      <c r="K439" s="33" t="str">
        <f aca="false">IF(C439&lt;&gt;"", L439-I439, "")</f>
        <v/>
      </c>
      <c r="L439" s="33" t="str">
        <f aca="false">IF(C439&lt;&gt;"", I439/(1-J439), "")</f>
        <v/>
      </c>
      <c r="M439" s="33" t="str">
        <f aca="false">IF(C439&lt;&gt;"", values!$A$2, "")</f>
        <v/>
      </c>
      <c r="N439" s="33" t="str">
        <f aca="false">IF(C439&lt;&gt;"", O439-L439, "")</f>
        <v/>
      </c>
      <c r="O439" s="33" t="str">
        <f aca="false">IF(C439&lt;&gt;"", L439/(1-M439), "")</f>
        <v/>
      </c>
    </row>
    <row r="440" customFormat="false" ht="12.8" hidden="false" customHeight="false" outlineLevel="0" collapsed="false">
      <c r="A440" s="1" t="s">
        <v>1834</v>
      </c>
      <c r="B440" s="31" t="s">
        <v>1835</v>
      </c>
      <c r="D440" s="32" t="str">
        <f aca="true">IF(C440&lt;&gt;"", SUM(INDEX(INDIRECT("'" &amp; B440 &amp; "'.$A$1:$Z$1000"), 0, MATCH("count", INDIRECT("'" &amp; B440 &amp; "'.$A$1:$Z$1"), 0))), "")</f>
        <v/>
      </c>
      <c r="E440" s="33" t="str">
        <f aca="true">IF(C440&lt;&gt;"", SUM(INDEX(INDIRECT("'" &amp; B440 &amp; "'.$A$1:$Z$1000"), 0, MATCH("cost", INDIRECT("'" &amp; B440 &amp; "'.$A$1:$Z$1"), 0))), "")</f>
        <v/>
      </c>
      <c r="F440" s="40" t="str">
        <f aca="true">IF(C440&lt;&gt;"", SUM(INDEX(INDIRECT("'" &amp; B440 &amp; "'.$A$1:$Z$1000"), 0, MATCH("total_assembly_time_min", INDIRECT("'" &amp; B440 &amp; "'.$A$1:$Z$1"), 0)))/60, "")</f>
        <v/>
      </c>
      <c r="G440" s="33" t="str">
        <f aca="false">IF(C440&lt;&gt;"", values!$B$2, "")</f>
        <v/>
      </c>
      <c r="H440" s="33" t="str">
        <f aca="false">IF(C440&lt;&gt;"", F440*G440, "")</f>
        <v/>
      </c>
      <c r="I440" s="33" t="str">
        <f aca="false">IF(C440&lt;&gt;"", H440+E440, "")</f>
        <v/>
      </c>
      <c r="K440" s="33" t="str">
        <f aca="false">IF(C440&lt;&gt;"", L440-I440, "")</f>
        <v/>
      </c>
      <c r="L440" s="33" t="str">
        <f aca="false">IF(C440&lt;&gt;"", I440/(1-J440), "")</f>
        <v/>
      </c>
      <c r="M440" s="33" t="str">
        <f aca="false">IF(C440&lt;&gt;"", values!$A$2, "")</f>
        <v/>
      </c>
      <c r="N440" s="33" t="str">
        <f aca="false">IF(C440&lt;&gt;"", O440-L440, "")</f>
        <v/>
      </c>
      <c r="O440" s="33" t="str">
        <f aca="false">IF(C440&lt;&gt;"", L440/(1-M440), "")</f>
        <v/>
      </c>
    </row>
    <row r="441" customFormat="false" ht="12.8" hidden="false" customHeight="false" outlineLevel="0" collapsed="false">
      <c r="A441" s="1" t="s">
        <v>1836</v>
      </c>
      <c r="B441" s="31" t="s">
        <v>1837</v>
      </c>
      <c r="D441" s="32" t="str">
        <f aca="true">IF(C441&lt;&gt;"", SUM(INDEX(INDIRECT("'" &amp; B441 &amp; "'.$A$1:$Z$1000"), 0, MATCH("count", INDIRECT("'" &amp; B441 &amp; "'.$A$1:$Z$1"), 0))), "")</f>
        <v/>
      </c>
      <c r="E441" s="33" t="str">
        <f aca="true">IF(C441&lt;&gt;"", SUM(INDEX(INDIRECT("'" &amp; B441 &amp; "'.$A$1:$Z$1000"), 0, MATCH("cost", INDIRECT("'" &amp; B441 &amp; "'.$A$1:$Z$1"), 0))), "")</f>
        <v/>
      </c>
      <c r="F441" s="40" t="str">
        <f aca="true">IF(C441&lt;&gt;"", SUM(INDEX(INDIRECT("'" &amp; B441 &amp; "'.$A$1:$Z$1000"), 0, MATCH("total_assembly_time_min", INDIRECT("'" &amp; B441 &amp; "'.$A$1:$Z$1"), 0)))/60, "")</f>
        <v/>
      </c>
      <c r="G441" s="33" t="str">
        <f aca="false">IF(C441&lt;&gt;"", values!$B$2, "")</f>
        <v/>
      </c>
      <c r="H441" s="33" t="str">
        <f aca="false">IF(C441&lt;&gt;"", F441*G441, "")</f>
        <v/>
      </c>
      <c r="I441" s="33" t="str">
        <f aca="false">IF(C441&lt;&gt;"", H441+E441, "")</f>
        <v/>
      </c>
      <c r="K441" s="33" t="str">
        <f aca="false">IF(C441&lt;&gt;"", L441-I441, "")</f>
        <v/>
      </c>
      <c r="L441" s="33" t="str">
        <f aca="false">IF(C441&lt;&gt;"", I441/(1-J441), "")</f>
        <v/>
      </c>
      <c r="M441" s="33" t="str">
        <f aca="false">IF(C441&lt;&gt;"", values!$A$2, "")</f>
        <v/>
      </c>
      <c r="N441" s="33" t="str">
        <f aca="false">IF(C441&lt;&gt;"", O441-L441, "")</f>
        <v/>
      </c>
      <c r="O441" s="33" t="str">
        <f aca="false">IF(C441&lt;&gt;"", L441/(1-M441), "")</f>
        <v/>
      </c>
    </row>
    <row r="442" customFormat="false" ht="12.8" hidden="false" customHeight="false" outlineLevel="0" collapsed="false">
      <c r="A442" s="1" t="s">
        <v>1838</v>
      </c>
      <c r="B442" s="31" t="s">
        <v>1839</v>
      </c>
      <c r="D442" s="32" t="str">
        <f aca="true">IF(C442&lt;&gt;"", SUM(INDEX(INDIRECT("'" &amp; B442 &amp; "'.$A$1:$Z$1000"), 0, MATCH("count", INDIRECT("'" &amp; B442 &amp; "'.$A$1:$Z$1"), 0))), "")</f>
        <v/>
      </c>
      <c r="E442" s="33" t="str">
        <f aca="true">IF(C442&lt;&gt;"", SUM(INDEX(INDIRECT("'" &amp; B442 &amp; "'.$A$1:$Z$1000"), 0, MATCH("cost", INDIRECT("'" &amp; B442 &amp; "'.$A$1:$Z$1"), 0))), "")</f>
        <v/>
      </c>
      <c r="F442" s="40" t="str">
        <f aca="true">IF(C442&lt;&gt;"", SUM(INDEX(INDIRECT("'" &amp; B442 &amp; "'.$A$1:$Z$1000"), 0, MATCH("total_assembly_time_min", INDIRECT("'" &amp; B442 &amp; "'.$A$1:$Z$1"), 0)))/60, "")</f>
        <v/>
      </c>
      <c r="G442" s="33" t="str">
        <f aca="false">IF(C442&lt;&gt;"", values!$B$2, "")</f>
        <v/>
      </c>
      <c r="H442" s="33" t="str">
        <f aca="false">IF(C442&lt;&gt;"", F442*G442, "")</f>
        <v/>
      </c>
      <c r="I442" s="33" t="str">
        <f aca="false">IF(C442&lt;&gt;"", H442+E442, "")</f>
        <v/>
      </c>
      <c r="K442" s="33" t="str">
        <f aca="false">IF(C442&lt;&gt;"", L442-I442, "")</f>
        <v/>
      </c>
      <c r="L442" s="33" t="str">
        <f aca="false">IF(C442&lt;&gt;"", I442/(1-J442), "")</f>
        <v/>
      </c>
      <c r="M442" s="33" t="str">
        <f aca="false">IF(C442&lt;&gt;"", values!$A$2, "")</f>
        <v/>
      </c>
      <c r="N442" s="33" t="str">
        <f aca="false">IF(C442&lt;&gt;"", O442-L442, "")</f>
        <v/>
      </c>
      <c r="O442" s="33" t="str">
        <f aca="false">IF(C442&lt;&gt;"", L442/(1-M442), "")</f>
        <v/>
      </c>
    </row>
    <row r="443" customFormat="false" ht="12.8" hidden="false" customHeight="false" outlineLevel="0" collapsed="false">
      <c r="A443" s="1" t="s">
        <v>1840</v>
      </c>
      <c r="B443" s="31" t="s">
        <v>1841</v>
      </c>
      <c r="D443" s="32" t="str">
        <f aca="true">IF(C443&lt;&gt;"", SUM(INDEX(INDIRECT("'" &amp; B443 &amp; "'.$A$1:$Z$1000"), 0, MATCH("count", INDIRECT("'" &amp; B443 &amp; "'.$A$1:$Z$1"), 0))), "")</f>
        <v/>
      </c>
      <c r="E443" s="33" t="str">
        <f aca="true">IF(C443&lt;&gt;"", SUM(INDEX(INDIRECT("'" &amp; B443 &amp; "'.$A$1:$Z$1000"), 0, MATCH("cost", INDIRECT("'" &amp; B443 &amp; "'.$A$1:$Z$1"), 0))), "")</f>
        <v/>
      </c>
      <c r="F443" s="40" t="str">
        <f aca="true">IF(C443&lt;&gt;"", SUM(INDEX(INDIRECT("'" &amp; B443 &amp; "'.$A$1:$Z$1000"), 0, MATCH("total_assembly_time_min", INDIRECT("'" &amp; B443 &amp; "'.$A$1:$Z$1"), 0)))/60, "")</f>
        <v/>
      </c>
      <c r="G443" s="33" t="str">
        <f aca="false">IF(C443&lt;&gt;"", values!$B$2, "")</f>
        <v/>
      </c>
      <c r="H443" s="33" t="str">
        <f aca="false">IF(C443&lt;&gt;"", F443*G443, "")</f>
        <v/>
      </c>
      <c r="I443" s="33" t="str">
        <f aca="false">IF(C443&lt;&gt;"", H443+E443, "")</f>
        <v/>
      </c>
      <c r="K443" s="33" t="str">
        <f aca="false">IF(C443&lt;&gt;"", L443-I443, "")</f>
        <v/>
      </c>
      <c r="L443" s="33" t="str">
        <f aca="false">IF(C443&lt;&gt;"", I443/(1-J443), "")</f>
        <v/>
      </c>
      <c r="M443" s="33" t="str">
        <f aca="false">IF(C443&lt;&gt;"", values!$A$2, "")</f>
        <v/>
      </c>
      <c r="N443" s="33" t="str">
        <f aca="false">IF(C443&lt;&gt;"", O443-L443, "")</f>
        <v/>
      </c>
      <c r="O443" s="33" t="str">
        <f aca="false">IF(C443&lt;&gt;"", L443/(1-M443), "")</f>
        <v/>
      </c>
    </row>
    <row r="444" customFormat="false" ht="12.8" hidden="false" customHeight="false" outlineLevel="0" collapsed="false">
      <c r="A444" s="1" t="s">
        <v>1842</v>
      </c>
      <c r="B444" s="31" t="s">
        <v>1843</v>
      </c>
      <c r="D444" s="32" t="str">
        <f aca="true">IF(C444&lt;&gt;"", SUM(INDEX(INDIRECT("'" &amp; B444 &amp; "'.$A$1:$Z$1000"), 0, MATCH("count", INDIRECT("'" &amp; B444 &amp; "'.$A$1:$Z$1"), 0))), "")</f>
        <v/>
      </c>
      <c r="E444" s="33" t="str">
        <f aca="true">IF(C444&lt;&gt;"", SUM(INDEX(INDIRECT("'" &amp; B444 &amp; "'.$A$1:$Z$1000"), 0, MATCH("cost", INDIRECT("'" &amp; B444 &amp; "'.$A$1:$Z$1"), 0))), "")</f>
        <v/>
      </c>
      <c r="F444" s="40" t="str">
        <f aca="true">IF(C444&lt;&gt;"", SUM(INDEX(INDIRECT("'" &amp; B444 &amp; "'.$A$1:$Z$1000"), 0, MATCH("total_assembly_time_min", INDIRECT("'" &amp; B444 &amp; "'.$A$1:$Z$1"), 0)))/60, "")</f>
        <v/>
      </c>
      <c r="G444" s="33" t="str">
        <f aca="false">IF(C444&lt;&gt;"", values!$B$2, "")</f>
        <v/>
      </c>
      <c r="H444" s="33" t="str">
        <f aca="false">IF(C444&lt;&gt;"", F444*G444, "")</f>
        <v/>
      </c>
      <c r="I444" s="33" t="str">
        <f aca="false">IF(C444&lt;&gt;"", H444+E444, "")</f>
        <v/>
      </c>
      <c r="K444" s="33" t="str">
        <f aca="false">IF(C444&lt;&gt;"", L444-I444, "")</f>
        <v/>
      </c>
      <c r="L444" s="33" t="str">
        <f aca="false">IF(C444&lt;&gt;"", I444/(1-J444), "")</f>
        <v/>
      </c>
      <c r="M444" s="33" t="str">
        <f aca="false">IF(C444&lt;&gt;"", values!$A$2, "")</f>
        <v/>
      </c>
      <c r="N444" s="33" t="str">
        <f aca="false">IF(C444&lt;&gt;"", O444-L444, "")</f>
        <v/>
      </c>
      <c r="O444" s="33" t="str">
        <f aca="false">IF(C444&lt;&gt;"", L444/(1-M444), "")</f>
        <v/>
      </c>
    </row>
    <row r="445" customFormat="false" ht="12.8" hidden="false" customHeight="false" outlineLevel="0" collapsed="false">
      <c r="A445" s="1" t="s">
        <v>1844</v>
      </c>
      <c r="B445" s="31" t="s">
        <v>1845</v>
      </c>
      <c r="D445" s="32" t="str">
        <f aca="true">IF(C445&lt;&gt;"", SUM(INDEX(INDIRECT("'" &amp; B445 &amp; "'.$A$1:$Z$1000"), 0, MATCH("count", INDIRECT("'" &amp; B445 &amp; "'.$A$1:$Z$1"), 0))), "")</f>
        <v/>
      </c>
      <c r="E445" s="33" t="str">
        <f aca="true">IF(C445&lt;&gt;"", SUM(INDEX(INDIRECT("'" &amp; B445 &amp; "'.$A$1:$Z$1000"), 0, MATCH("cost", INDIRECT("'" &amp; B445 &amp; "'.$A$1:$Z$1"), 0))), "")</f>
        <v/>
      </c>
      <c r="F445" s="40" t="str">
        <f aca="true">IF(C445&lt;&gt;"", SUM(INDEX(INDIRECT("'" &amp; B445 &amp; "'.$A$1:$Z$1000"), 0, MATCH("total_assembly_time_min", INDIRECT("'" &amp; B445 &amp; "'.$A$1:$Z$1"), 0)))/60, "")</f>
        <v/>
      </c>
      <c r="G445" s="33" t="str">
        <f aca="false">IF(C445&lt;&gt;"", values!$B$2, "")</f>
        <v/>
      </c>
      <c r="H445" s="33" t="str">
        <f aca="false">IF(C445&lt;&gt;"", F445*G445, "")</f>
        <v/>
      </c>
      <c r="I445" s="33" t="str">
        <f aca="false">IF(C445&lt;&gt;"", H445+E445, "")</f>
        <v/>
      </c>
      <c r="K445" s="33" t="str">
        <f aca="false">IF(C445&lt;&gt;"", L445-I445, "")</f>
        <v/>
      </c>
      <c r="L445" s="33" t="str">
        <f aca="false">IF(C445&lt;&gt;"", I445/(1-J445), "")</f>
        <v/>
      </c>
      <c r="M445" s="33" t="str">
        <f aca="false">IF(C445&lt;&gt;"", values!$A$2, "")</f>
        <v/>
      </c>
      <c r="N445" s="33" t="str">
        <f aca="false">IF(C445&lt;&gt;"", O445-L445, "")</f>
        <v/>
      </c>
      <c r="O445" s="33" t="str">
        <f aca="false">IF(C445&lt;&gt;"", L445/(1-M445), "")</f>
        <v/>
      </c>
    </row>
    <row r="446" customFormat="false" ht="12.8" hidden="false" customHeight="false" outlineLevel="0" collapsed="false">
      <c r="A446" s="1" t="s">
        <v>1846</v>
      </c>
      <c r="B446" s="31" t="s">
        <v>1847</v>
      </c>
      <c r="D446" s="32" t="str">
        <f aca="true">IF(C446&lt;&gt;"", SUM(INDEX(INDIRECT("'" &amp; B446 &amp; "'.$A$1:$Z$1000"), 0, MATCH("count", INDIRECT("'" &amp; B446 &amp; "'.$A$1:$Z$1"), 0))), "")</f>
        <v/>
      </c>
      <c r="E446" s="33" t="str">
        <f aca="true">IF(C446&lt;&gt;"", SUM(INDEX(INDIRECT("'" &amp; B446 &amp; "'.$A$1:$Z$1000"), 0, MATCH("cost", INDIRECT("'" &amp; B446 &amp; "'.$A$1:$Z$1"), 0))), "")</f>
        <v/>
      </c>
      <c r="F446" s="40" t="str">
        <f aca="true">IF(C446&lt;&gt;"", SUM(INDEX(INDIRECT("'" &amp; B446 &amp; "'.$A$1:$Z$1000"), 0, MATCH("total_assembly_time_min", INDIRECT("'" &amp; B446 &amp; "'.$A$1:$Z$1"), 0)))/60, "")</f>
        <v/>
      </c>
      <c r="G446" s="33" t="str">
        <f aca="false">IF(C446&lt;&gt;"", values!$B$2, "")</f>
        <v/>
      </c>
      <c r="H446" s="33" t="str">
        <f aca="false">IF(C446&lt;&gt;"", F446*G446, "")</f>
        <v/>
      </c>
      <c r="I446" s="33" t="str">
        <f aca="false">IF(C446&lt;&gt;"", H446+E446, "")</f>
        <v/>
      </c>
      <c r="K446" s="33" t="str">
        <f aca="false">IF(C446&lt;&gt;"", L446-I446, "")</f>
        <v/>
      </c>
      <c r="L446" s="33" t="str">
        <f aca="false">IF(C446&lt;&gt;"", I446/(1-J446), "")</f>
        <v/>
      </c>
      <c r="M446" s="33" t="str">
        <f aca="false">IF(C446&lt;&gt;"", values!$A$2, "")</f>
        <v/>
      </c>
      <c r="N446" s="33" t="str">
        <f aca="false">IF(C446&lt;&gt;"", O446-L446, "")</f>
        <v/>
      </c>
      <c r="O446" s="33" t="str">
        <f aca="false">IF(C446&lt;&gt;"", L446/(1-M446), "")</f>
        <v/>
      </c>
    </row>
    <row r="447" customFormat="false" ht="12.8" hidden="false" customHeight="false" outlineLevel="0" collapsed="false">
      <c r="A447" s="1" t="s">
        <v>1848</v>
      </c>
      <c r="B447" s="31" t="s">
        <v>1849</v>
      </c>
      <c r="D447" s="32" t="str">
        <f aca="true">IF(C447&lt;&gt;"", SUM(INDEX(INDIRECT("'" &amp; B447 &amp; "'.$A$1:$Z$1000"), 0, MATCH("count", INDIRECT("'" &amp; B447 &amp; "'.$A$1:$Z$1"), 0))), "")</f>
        <v/>
      </c>
      <c r="E447" s="33" t="str">
        <f aca="true">IF(C447&lt;&gt;"", SUM(INDEX(INDIRECT("'" &amp; B447 &amp; "'.$A$1:$Z$1000"), 0, MATCH("cost", INDIRECT("'" &amp; B447 &amp; "'.$A$1:$Z$1"), 0))), "")</f>
        <v/>
      </c>
      <c r="F447" s="40" t="str">
        <f aca="true">IF(C447&lt;&gt;"", SUM(INDEX(INDIRECT("'" &amp; B447 &amp; "'.$A$1:$Z$1000"), 0, MATCH("total_assembly_time_min", INDIRECT("'" &amp; B447 &amp; "'.$A$1:$Z$1"), 0)))/60, "")</f>
        <v/>
      </c>
      <c r="G447" s="33" t="str">
        <f aca="false">IF(C447&lt;&gt;"", values!$B$2, "")</f>
        <v/>
      </c>
      <c r="H447" s="33" t="str">
        <f aca="false">IF(C447&lt;&gt;"", F447*G447, "")</f>
        <v/>
      </c>
      <c r="I447" s="33" t="str">
        <f aca="false">IF(C447&lt;&gt;"", H447+E447, "")</f>
        <v/>
      </c>
      <c r="K447" s="33" t="str">
        <f aca="false">IF(C447&lt;&gt;"", L447-I447, "")</f>
        <v/>
      </c>
      <c r="L447" s="33" t="str">
        <f aca="false">IF(C447&lt;&gt;"", I447/(1-J447), "")</f>
        <v/>
      </c>
      <c r="M447" s="33" t="str">
        <f aca="false">IF(C447&lt;&gt;"", values!$A$2, "")</f>
        <v/>
      </c>
      <c r="N447" s="33" t="str">
        <f aca="false">IF(C447&lt;&gt;"", O447-L447, "")</f>
        <v/>
      </c>
      <c r="O447" s="33" t="str">
        <f aca="false">IF(C447&lt;&gt;"", L447/(1-M447), "")</f>
        <v/>
      </c>
    </row>
    <row r="448" customFormat="false" ht="12.8" hidden="false" customHeight="false" outlineLevel="0" collapsed="false">
      <c r="A448" s="1" t="s">
        <v>1850</v>
      </c>
      <c r="B448" s="31" t="s">
        <v>1851</v>
      </c>
      <c r="D448" s="32" t="str">
        <f aca="true">IF(C448&lt;&gt;"", SUM(INDEX(INDIRECT("'" &amp; B448 &amp; "'.$A$1:$Z$1000"), 0, MATCH("count", INDIRECT("'" &amp; B448 &amp; "'.$A$1:$Z$1"), 0))), "")</f>
        <v/>
      </c>
      <c r="E448" s="33" t="str">
        <f aca="true">IF(C448&lt;&gt;"", SUM(INDEX(INDIRECT("'" &amp; B448 &amp; "'.$A$1:$Z$1000"), 0, MATCH("cost", INDIRECT("'" &amp; B448 &amp; "'.$A$1:$Z$1"), 0))), "")</f>
        <v/>
      </c>
      <c r="F448" s="40" t="str">
        <f aca="true">IF(C448&lt;&gt;"", SUM(INDEX(INDIRECT("'" &amp; B448 &amp; "'.$A$1:$Z$1000"), 0, MATCH("total_assembly_time_min", INDIRECT("'" &amp; B448 &amp; "'.$A$1:$Z$1"), 0)))/60, "")</f>
        <v/>
      </c>
      <c r="G448" s="33" t="str">
        <f aca="false">IF(C448&lt;&gt;"", values!$B$2, "")</f>
        <v/>
      </c>
      <c r="H448" s="33" t="str">
        <f aca="false">IF(C448&lt;&gt;"", F448*G448, "")</f>
        <v/>
      </c>
      <c r="I448" s="33" t="str">
        <f aca="false">IF(C448&lt;&gt;"", H448+E448, "")</f>
        <v/>
      </c>
      <c r="K448" s="33" t="str">
        <f aca="false">IF(C448&lt;&gt;"", L448-I448, "")</f>
        <v/>
      </c>
      <c r="L448" s="33" t="str">
        <f aca="false">IF(C448&lt;&gt;"", I448/(1-J448), "")</f>
        <v/>
      </c>
      <c r="M448" s="33" t="str">
        <f aca="false">IF(C448&lt;&gt;"", values!$A$2, "")</f>
        <v/>
      </c>
      <c r="N448" s="33" t="str">
        <f aca="false">IF(C448&lt;&gt;"", O448-L448, "")</f>
        <v/>
      </c>
      <c r="O448" s="33" t="str">
        <f aca="false">IF(C448&lt;&gt;"", L448/(1-M448), "")</f>
        <v/>
      </c>
    </row>
    <row r="449" customFormat="false" ht="12.8" hidden="false" customHeight="false" outlineLevel="0" collapsed="false">
      <c r="A449" s="1" t="s">
        <v>1852</v>
      </c>
      <c r="B449" s="31" t="s">
        <v>1853</v>
      </c>
      <c r="D449" s="32" t="str">
        <f aca="true">IF(C449&lt;&gt;"", SUM(INDEX(INDIRECT("'" &amp; B449 &amp; "'.$A$1:$Z$1000"), 0, MATCH("count", INDIRECT("'" &amp; B449 &amp; "'.$A$1:$Z$1"), 0))), "")</f>
        <v/>
      </c>
      <c r="E449" s="33" t="str">
        <f aca="true">IF(C449&lt;&gt;"", SUM(INDEX(INDIRECT("'" &amp; B449 &amp; "'.$A$1:$Z$1000"), 0, MATCH("cost", INDIRECT("'" &amp; B449 &amp; "'.$A$1:$Z$1"), 0))), "")</f>
        <v/>
      </c>
      <c r="F449" s="40" t="str">
        <f aca="true">IF(C449&lt;&gt;"", SUM(INDEX(INDIRECT("'" &amp; B449 &amp; "'.$A$1:$Z$1000"), 0, MATCH("total_assembly_time_min", INDIRECT("'" &amp; B449 &amp; "'.$A$1:$Z$1"), 0)))/60, "")</f>
        <v/>
      </c>
      <c r="G449" s="33" t="str">
        <f aca="false">IF(C449&lt;&gt;"", values!$B$2, "")</f>
        <v/>
      </c>
      <c r="H449" s="33" t="str">
        <f aca="false">IF(C449&lt;&gt;"", F449*G449, "")</f>
        <v/>
      </c>
      <c r="I449" s="33" t="str">
        <f aca="false">IF(C449&lt;&gt;"", H449+E449, "")</f>
        <v/>
      </c>
      <c r="K449" s="33" t="str">
        <f aca="false">IF(C449&lt;&gt;"", L449-I449, "")</f>
        <v/>
      </c>
      <c r="L449" s="33" t="str">
        <f aca="false">IF(C449&lt;&gt;"", I449/(1-J449), "")</f>
        <v/>
      </c>
      <c r="M449" s="33" t="str">
        <f aca="false">IF(C449&lt;&gt;"", values!$A$2, "")</f>
        <v/>
      </c>
      <c r="N449" s="33" t="str">
        <f aca="false">IF(C449&lt;&gt;"", O449-L449, "")</f>
        <v/>
      </c>
      <c r="O449" s="33" t="str">
        <f aca="false">IF(C449&lt;&gt;"", L449/(1-M449), "")</f>
        <v/>
      </c>
    </row>
    <row r="450" customFormat="false" ht="12.8" hidden="false" customHeight="false" outlineLevel="0" collapsed="false">
      <c r="A450" s="1" t="s">
        <v>1854</v>
      </c>
      <c r="B450" s="31" t="s">
        <v>1855</v>
      </c>
      <c r="D450" s="32" t="str">
        <f aca="true">IF(C450&lt;&gt;"", SUM(INDEX(INDIRECT("'" &amp; B450 &amp; "'.$A$1:$Z$1000"), 0, MATCH("count", INDIRECT("'" &amp; B450 &amp; "'.$A$1:$Z$1"), 0))), "")</f>
        <v/>
      </c>
      <c r="E450" s="33" t="str">
        <f aca="true">IF(C450&lt;&gt;"", SUM(INDEX(INDIRECT("'" &amp; B450 &amp; "'.$A$1:$Z$1000"), 0, MATCH("cost", INDIRECT("'" &amp; B450 &amp; "'.$A$1:$Z$1"), 0))), "")</f>
        <v/>
      </c>
      <c r="F450" s="40" t="str">
        <f aca="true">IF(C450&lt;&gt;"", SUM(INDEX(INDIRECT("'" &amp; B450 &amp; "'.$A$1:$Z$1000"), 0, MATCH("total_assembly_time_min", INDIRECT("'" &amp; B450 &amp; "'.$A$1:$Z$1"), 0)))/60, "")</f>
        <v/>
      </c>
      <c r="G450" s="33" t="str">
        <f aca="false">IF(C450&lt;&gt;"", values!$B$2, "")</f>
        <v/>
      </c>
      <c r="H450" s="33" t="str">
        <f aca="false">IF(C450&lt;&gt;"", F450*G450, "")</f>
        <v/>
      </c>
      <c r="I450" s="33" t="str">
        <f aca="false">IF(C450&lt;&gt;"", H450+E450, "")</f>
        <v/>
      </c>
      <c r="K450" s="33" t="str">
        <f aca="false">IF(C450&lt;&gt;"", L450-I450, "")</f>
        <v/>
      </c>
      <c r="L450" s="33" t="str">
        <f aca="false">IF(C450&lt;&gt;"", I450/(1-J450), "")</f>
        <v/>
      </c>
      <c r="M450" s="33" t="str">
        <f aca="false">IF(C450&lt;&gt;"", values!$A$2, "")</f>
        <v/>
      </c>
      <c r="N450" s="33" t="str">
        <f aca="false">IF(C450&lt;&gt;"", O450-L450, "")</f>
        <v/>
      </c>
      <c r="O450" s="33" t="str">
        <f aca="false">IF(C450&lt;&gt;"", L450/(1-M450), "")</f>
        <v/>
      </c>
    </row>
    <row r="451" customFormat="false" ht="12.8" hidden="false" customHeight="false" outlineLevel="0" collapsed="false">
      <c r="A451" s="1" t="s">
        <v>1856</v>
      </c>
      <c r="B451" s="31" t="s">
        <v>1857</v>
      </c>
      <c r="D451" s="32" t="str">
        <f aca="true">IF(C451&lt;&gt;"", SUM(INDEX(INDIRECT("'" &amp; B451 &amp; "'.$A$1:$Z$1000"), 0, MATCH("count", INDIRECT("'" &amp; B451 &amp; "'.$A$1:$Z$1"), 0))), "")</f>
        <v/>
      </c>
      <c r="E451" s="33" t="str">
        <f aca="true">IF(C451&lt;&gt;"", SUM(INDEX(INDIRECT("'" &amp; B451 &amp; "'.$A$1:$Z$1000"), 0, MATCH("cost", INDIRECT("'" &amp; B451 &amp; "'.$A$1:$Z$1"), 0))), "")</f>
        <v/>
      </c>
      <c r="F451" s="40" t="str">
        <f aca="true">IF(C451&lt;&gt;"", SUM(INDEX(INDIRECT("'" &amp; B451 &amp; "'.$A$1:$Z$1000"), 0, MATCH("total_assembly_time_min", INDIRECT("'" &amp; B451 &amp; "'.$A$1:$Z$1"), 0)))/60, "")</f>
        <v/>
      </c>
      <c r="G451" s="33" t="str">
        <f aca="false">IF(C451&lt;&gt;"", values!$B$2, "")</f>
        <v/>
      </c>
      <c r="H451" s="33" t="str">
        <f aca="false">IF(C451&lt;&gt;"", F451*G451, "")</f>
        <v/>
      </c>
      <c r="I451" s="33" t="str">
        <f aca="false">IF(C451&lt;&gt;"", H451+E451, "")</f>
        <v/>
      </c>
      <c r="K451" s="33" t="str">
        <f aca="false">IF(C451&lt;&gt;"", L451-I451, "")</f>
        <v/>
      </c>
      <c r="L451" s="33" t="str">
        <f aca="false">IF(C451&lt;&gt;"", I451/(1-J451), "")</f>
        <v/>
      </c>
      <c r="M451" s="33" t="str">
        <f aca="false">IF(C451&lt;&gt;"", values!$A$2, "")</f>
        <v/>
      </c>
      <c r="N451" s="33" t="str">
        <f aca="false">IF(C451&lt;&gt;"", O451-L451, "")</f>
        <v/>
      </c>
      <c r="O451" s="33" t="str">
        <f aca="false">IF(C451&lt;&gt;"", L451/(1-M451), "")</f>
        <v/>
      </c>
    </row>
    <row r="452" customFormat="false" ht="12.8" hidden="false" customHeight="false" outlineLevel="0" collapsed="false">
      <c r="A452" s="1" t="s">
        <v>1858</v>
      </c>
      <c r="B452" s="31" t="s">
        <v>1859</v>
      </c>
      <c r="D452" s="32" t="str">
        <f aca="true">IF(C452&lt;&gt;"", SUM(INDEX(INDIRECT("'" &amp; B452 &amp; "'.$A$1:$Z$1000"), 0, MATCH("count", INDIRECT("'" &amp; B452 &amp; "'.$A$1:$Z$1"), 0))), "")</f>
        <v/>
      </c>
      <c r="E452" s="33" t="str">
        <f aca="true">IF(C452&lt;&gt;"", SUM(INDEX(INDIRECT("'" &amp; B452 &amp; "'.$A$1:$Z$1000"), 0, MATCH("cost", INDIRECT("'" &amp; B452 &amp; "'.$A$1:$Z$1"), 0))), "")</f>
        <v/>
      </c>
      <c r="F452" s="40" t="str">
        <f aca="true">IF(C452&lt;&gt;"", SUM(INDEX(INDIRECT("'" &amp; B452 &amp; "'.$A$1:$Z$1000"), 0, MATCH("total_assembly_time_min", INDIRECT("'" &amp; B452 &amp; "'.$A$1:$Z$1"), 0)))/60, "")</f>
        <v/>
      </c>
      <c r="G452" s="33" t="str">
        <f aca="false">IF(C452&lt;&gt;"", values!$B$2, "")</f>
        <v/>
      </c>
      <c r="H452" s="33" t="str">
        <f aca="false">IF(C452&lt;&gt;"", F452*G452, "")</f>
        <v/>
      </c>
      <c r="I452" s="33" t="str">
        <f aca="false">IF(C452&lt;&gt;"", H452+E452, "")</f>
        <v/>
      </c>
      <c r="K452" s="33" t="str">
        <f aca="false">IF(C452&lt;&gt;"", L452-I452, "")</f>
        <v/>
      </c>
      <c r="L452" s="33" t="str">
        <f aca="false">IF(C452&lt;&gt;"", I452/(1-J452), "")</f>
        <v/>
      </c>
      <c r="M452" s="33" t="str">
        <f aca="false">IF(C452&lt;&gt;"", values!$A$2, "")</f>
        <v/>
      </c>
      <c r="N452" s="33" t="str">
        <f aca="false">IF(C452&lt;&gt;"", O452-L452, "")</f>
        <v/>
      </c>
      <c r="O452" s="33" t="str">
        <f aca="false">IF(C452&lt;&gt;"", L452/(1-M452), "")</f>
        <v/>
      </c>
    </row>
    <row r="453" customFormat="false" ht="12.8" hidden="false" customHeight="false" outlineLevel="0" collapsed="false">
      <c r="A453" s="1" t="s">
        <v>1860</v>
      </c>
      <c r="B453" s="31" t="s">
        <v>1861</v>
      </c>
      <c r="D453" s="32" t="str">
        <f aca="true">IF(C453&lt;&gt;"", SUM(INDEX(INDIRECT("'" &amp; B453 &amp; "'.$A$1:$Z$1000"), 0, MATCH("count", INDIRECT("'" &amp; B453 &amp; "'.$A$1:$Z$1"), 0))), "")</f>
        <v/>
      </c>
      <c r="E453" s="33" t="str">
        <f aca="true">IF(C453&lt;&gt;"", SUM(INDEX(INDIRECT("'" &amp; B453 &amp; "'.$A$1:$Z$1000"), 0, MATCH("cost", INDIRECT("'" &amp; B453 &amp; "'.$A$1:$Z$1"), 0))), "")</f>
        <v/>
      </c>
      <c r="F453" s="40" t="str">
        <f aca="true">IF(C453&lt;&gt;"", SUM(INDEX(INDIRECT("'" &amp; B453 &amp; "'.$A$1:$Z$1000"), 0, MATCH("total_assembly_time_min", INDIRECT("'" &amp; B453 &amp; "'.$A$1:$Z$1"), 0)))/60, "")</f>
        <v/>
      </c>
      <c r="G453" s="33" t="str">
        <f aca="false">IF(C453&lt;&gt;"", values!$B$2, "")</f>
        <v/>
      </c>
      <c r="H453" s="33" t="str">
        <f aca="false">IF(C453&lt;&gt;"", F453*G453, "")</f>
        <v/>
      </c>
      <c r="I453" s="33" t="str">
        <f aca="false">IF(C453&lt;&gt;"", H453+E453, "")</f>
        <v/>
      </c>
      <c r="K453" s="33" t="str">
        <f aca="false">IF(C453&lt;&gt;"", L453-I453, "")</f>
        <v/>
      </c>
      <c r="L453" s="33" t="str">
        <f aca="false">IF(C453&lt;&gt;"", I453/(1-J453), "")</f>
        <v/>
      </c>
      <c r="M453" s="33" t="str">
        <f aca="false">IF(C453&lt;&gt;"", values!$A$2, "")</f>
        <v/>
      </c>
      <c r="N453" s="33" t="str">
        <f aca="false">IF(C453&lt;&gt;"", O453-L453, "")</f>
        <v/>
      </c>
      <c r="O453" s="33" t="str">
        <f aca="false">IF(C453&lt;&gt;"", L453/(1-M453), "")</f>
        <v/>
      </c>
    </row>
    <row r="454" customFormat="false" ht="12.8" hidden="false" customHeight="false" outlineLevel="0" collapsed="false">
      <c r="A454" s="1" t="s">
        <v>1862</v>
      </c>
      <c r="B454" s="31" t="s">
        <v>1863</v>
      </c>
      <c r="D454" s="32" t="str">
        <f aca="true">IF(C454&lt;&gt;"", SUM(INDEX(INDIRECT("'" &amp; B454 &amp; "'.$A$1:$Z$1000"), 0, MATCH("count", INDIRECT("'" &amp; B454 &amp; "'.$A$1:$Z$1"), 0))), "")</f>
        <v/>
      </c>
      <c r="E454" s="33" t="str">
        <f aca="true">IF(C454&lt;&gt;"", SUM(INDEX(INDIRECT("'" &amp; B454 &amp; "'.$A$1:$Z$1000"), 0, MATCH("cost", INDIRECT("'" &amp; B454 &amp; "'.$A$1:$Z$1"), 0))), "")</f>
        <v/>
      </c>
      <c r="F454" s="40" t="str">
        <f aca="true">IF(C454&lt;&gt;"", SUM(INDEX(INDIRECT("'" &amp; B454 &amp; "'.$A$1:$Z$1000"), 0, MATCH("total_assembly_time_min", INDIRECT("'" &amp; B454 &amp; "'.$A$1:$Z$1"), 0)))/60, "")</f>
        <v/>
      </c>
      <c r="G454" s="33" t="str">
        <f aca="false">IF(C454&lt;&gt;"", values!$B$2, "")</f>
        <v/>
      </c>
      <c r="H454" s="33" t="str">
        <f aca="false">IF(C454&lt;&gt;"", F454*G454, "")</f>
        <v/>
      </c>
      <c r="I454" s="33" t="str">
        <f aca="false">IF(C454&lt;&gt;"", H454+E454, "")</f>
        <v/>
      </c>
      <c r="K454" s="33" t="str">
        <f aca="false">IF(C454&lt;&gt;"", L454-I454, "")</f>
        <v/>
      </c>
      <c r="L454" s="33" t="str">
        <f aca="false">IF(C454&lt;&gt;"", I454/(1-J454), "")</f>
        <v/>
      </c>
      <c r="M454" s="33" t="str">
        <f aca="false">IF(C454&lt;&gt;"", values!$A$2, "")</f>
        <v/>
      </c>
      <c r="N454" s="33" t="str">
        <f aca="false">IF(C454&lt;&gt;"", O454-L454, "")</f>
        <v/>
      </c>
      <c r="O454" s="33" t="str">
        <f aca="false">IF(C454&lt;&gt;"", L454/(1-M454), "")</f>
        <v/>
      </c>
    </row>
    <row r="455" customFormat="false" ht="12.8" hidden="false" customHeight="false" outlineLevel="0" collapsed="false">
      <c r="A455" s="1" t="s">
        <v>1864</v>
      </c>
      <c r="B455" s="31" t="s">
        <v>1865</v>
      </c>
      <c r="D455" s="32" t="str">
        <f aca="true">IF(C455&lt;&gt;"", SUM(INDEX(INDIRECT("'" &amp; B455 &amp; "'.$A$1:$Z$1000"), 0, MATCH("count", INDIRECT("'" &amp; B455 &amp; "'.$A$1:$Z$1"), 0))), "")</f>
        <v/>
      </c>
      <c r="E455" s="33" t="str">
        <f aca="true">IF(C455&lt;&gt;"", SUM(INDEX(INDIRECT("'" &amp; B455 &amp; "'.$A$1:$Z$1000"), 0, MATCH("cost", INDIRECT("'" &amp; B455 &amp; "'.$A$1:$Z$1"), 0))), "")</f>
        <v/>
      </c>
      <c r="F455" s="40" t="str">
        <f aca="true">IF(C455&lt;&gt;"", SUM(INDEX(INDIRECT("'" &amp; B455 &amp; "'.$A$1:$Z$1000"), 0, MATCH("total_assembly_time_min", INDIRECT("'" &amp; B455 &amp; "'.$A$1:$Z$1"), 0)))/60, "")</f>
        <v/>
      </c>
      <c r="G455" s="33" t="str">
        <f aca="false">IF(C455&lt;&gt;"", values!$B$2, "")</f>
        <v/>
      </c>
      <c r="H455" s="33" t="str">
        <f aca="false">IF(C455&lt;&gt;"", F455*G455, "")</f>
        <v/>
      </c>
      <c r="I455" s="33" t="str">
        <f aca="false">IF(C455&lt;&gt;"", H455+E455, "")</f>
        <v/>
      </c>
      <c r="K455" s="33" t="str">
        <f aca="false">IF(C455&lt;&gt;"", L455-I455, "")</f>
        <v/>
      </c>
      <c r="L455" s="33" t="str">
        <f aca="false">IF(C455&lt;&gt;"", I455/(1-J455), "")</f>
        <v/>
      </c>
      <c r="M455" s="33" t="str">
        <f aca="false">IF(C455&lt;&gt;"", values!$A$2, "")</f>
        <v/>
      </c>
      <c r="N455" s="33" t="str">
        <f aca="false">IF(C455&lt;&gt;"", O455-L455, "")</f>
        <v/>
      </c>
      <c r="O455" s="33" t="str">
        <f aca="false">IF(C455&lt;&gt;"", L455/(1-M455), "")</f>
        <v/>
      </c>
    </row>
    <row r="456" customFormat="false" ht="12.8" hidden="false" customHeight="false" outlineLevel="0" collapsed="false">
      <c r="A456" s="1" t="s">
        <v>1866</v>
      </c>
      <c r="B456" s="31" t="s">
        <v>1867</v>
      </c>
      <c r="D456" s="32" t="str">
        <f aca="true">IF(C456&lt;&gt;"", SUM(INDEX(INDIRECT("'" &amp; B456 &amp; "'.$A$1:$Z$1000"), 0, MATCH("count", INDIRECT("'" &amp; B456 &amp; "'.$A$1:$Z$1"), 0))), "")</f>
        <v/>
      </c>
      <c r="E456" s="33" t="str">
        <f aca="true">IF(C456&lt;&gt;"", SUM(INDEX(INDIRECT("'" &amp; B456 &amp; "'.$A$1:$Z$1000"), 0, MATCH("cost", INDIRECT("'" &amp; B456 &amp; "'.$A$1:$Z$1"), 0))), "")</f>
        <v/>
      </c>
      <c r="F456" s="40" t="str">
        <f aca="true">IF(C456&lt;&gt;"", SUM(INDEX(INDIRECT("'" &amp; B456 &amp; "'.$A$1:$Z$1000"), 0, MATCH("total_assembly_time_min", INDIRECT("'" &amp; B456 &amp; "'.$A$1:$Z$1"), 0)))/60, "")</f>
        <v/>
      </c>
      <c r="G456" s="33" t="str">
        <f aca="false">IF(C456&lt;&gt;"", values!$B$2, "")</f>
        <v/>
      </c>
      <c r="H456" s="33" t="str">
        <f aca="false">IF(C456&lt;&gt;"", F456*G456, "")</f>
        <v/>
      </c>
      <c r="I456" s="33" t="str">
        <f aca="false">IF(C456&lt;&gt;"", H456+E456, "")</f>
        <v/>
      </c>
      <c r="K456" s="33" t="str">
        <f aca="false">IF(C456&lt;&gt;"", L456-I456, "")</f>
        <v/>
      </c>
      <c r="L456" s="33" t="str">
        <f aca="false">IF(C456&lt;&gt;"", I456/(1-J456), "")</f>
        <v/>
      </c>
      <c r="M456" s="33" t="str">
        <f aca="false">IF(C456&lt;&gt;"", values!$A$2, "")</f>
        <v/>
      </c>
      <c r="N456" s="33" t="str">
        <f aca="false">IF(C456&lt;&gt;"", O456-L456, "")</f>
        <v/>
      </c>
      <c r="O456" s="33" t="str">
        <f aca="false">IF(C456&lt;&gt;"", L456/(1-M456), "")</f>
        <v/>
      </c>
    </row>
    <row r="457" customFormat="false" ht="12.8" hidden="false" customHeight="false" outlineLevel="0" collapsed="false">
      <c r="A457" s="1" t="s">
        <v>1868</v>
      </c>
      <c r="B457" s="31" t="s">
        <v>1869</v>
      </c>
      <c r="D457" s="32" t="str">
        <f aca="true">IF(C457&lt;&gt;"", SUM(INDEX(INDIRECT("'" &amp; B457 &amp; "'.$A$1:$Z$1000"), 0, MATCH("count", INDIRECT("'" &amp; B457 &amp; "'.$A$1:$Z$1"), 0))), "")</f>
        <v/>
      </c>
      <c r="E457" s="33" t="str">
        <f aca="true">IF(C457&lt;&gt;"", SUM(INDEX(INDIRECT("'" &amp; B457 &amp; "'.$A$1:$Z$1000"), 0, MATCH("cost", INDIRECT("'" &amp; B457 &amp; "'.$A$1:$Z$1"), 0))), "")</f>
        <v/>
      </c>
      <c r="F457" s="40" t="str">
        <f aca="true">IF(C457&lt;&gt;"", SUM(INDEX(INDIRECT("'" &amp; B457 &amp; "'.$A$1:$Z$1000"), 0, MATCH("total_assembly_time_min", INDIRECT("'" &amp; B457 &amp; "'.$A$1:$Z$1"), 0)))/60, "")</f>
        <v/>
      </c>
      <c r="G457" s="33" t="str">
        <f aca="false">IF(C457&lt;&gt;"", values!$B$2, "")</f>
        <v/>
      </c>
      <c r="H457" s="33" t="str">
        <f aca="false">IF(C457&lt;&gt;"", F457*G457, "")</f>
        <v/>
      </c>
      <c r="I457" s="33" t="str">
        <f aca="false">IF(C457&lt;&gt;"", H457+E457, "")</f>
        <v/>
      </c>
      <c r="K457" s="33" t="str">
        <f aca="false">IF(C457&lt;&gt;"", L457-I457, "")</f>
        <v/>
      </c>
      <c r="L457" s="33" t="str">
        <f aca="false">IF(C457&lt;&gt;"", I457/(1-J457), "")</f>
        <v/>
      </c>
      <c r="M457" s="33" t="str">
        <f aca="false">IF(C457&lt;&gt;"", values!$A$2, "")</f>
        <v/>
      </c>
      <c r="N457" s="33" t="str">
        <f aca="false">IF(C457&lt;&gt;"", O457-L457, "")</f>
        <v/>
      </c>
      <c r="O457" s="33" t="str">
        <f aca="false">IF(C457&lt;&gt;"", L457/(1-M457), "")</f>
        <v/>
      </c>
    </row>
    <row r="458" customFormat="false" ht="12.8" hidden="false" customHeight="false" outlineLevel="0" collapsed="false">
      <c r="A458" s="1" t="s">
        <v>1870</v>
      </c>
      <c r="B458" s="31" t="s">
        <v>1871</v>
      </c>
      <c r="D458" s="32" t="str">
        <f aca="true">IF(C458&lt;&gt;"", SUM(INDEX(INDIRECT("'" &amp; B458 &amp; "'.$A$1:$Z$1000"), 0, MATCH("count", INDIRECT("'" &amp; B458 &amp; "'.$A$1:$Z$1"), 0))), "")</f>
        <v/>
      </c>
      <c r="E458" s="33" t="str">
        <f aca="true">IF(C458&lt;&gt;"", SUM(INDEX(INDIRECT("'" &amp; B458 &amp; "'.$A$1:$Z$1000"), 0, MATCH("cost", INDIRECT("'" &amp; B458 &amp; "'.$A$1:$Z$1"), 0))), "")</f>
        <v/>
      </c>
      <c r="F458" s="40" t="str">
        <f aca="true">IF(C458&lt;&gt;"", SUM(INDEX(INDIRECT("'" &amp; B458 &amp; "'.$A$1:$Z$1000"), 0, MATCH("total_assembly_time_min", INDIRECT("'" &amp; B458 &amp; "'.$A$1:$Z$1"), 0)))/60, "")</f>
        <v/>
      </c>
      <c r="G458" s="33" t="str">
        <f aca="false">IF(C458&lt;&gt;"", values!$B$2, "")</f>
        <v/>
      </c>
      <c r="H458" s="33" t="str">
        <f aca="false">IF(C458&lt;&gt;"", F458*G458, "")</f>
        <v/>
      </c>
      <c r="I458" s="33" t="str">
        <f aca="false">IF(C458&lt;&gt;"", H458+E458, "")</f>
        <v/>
      </c>
      <c r="K458" s="33" t="str">
        <f aca="false">IF(C458&lt;&gt;"", L458-I458, "")</f>
        <v/>
      </c>
      <c r="L458" s="33" t="str">
        <f aca="false">IF(C458&lt;&gt;"", I458/(1-J458), "")</f>
        <v/>
      </c>
      <c r="M458" s="33" t="str">
        <f aca="false">IF(C458&lt;&gt;"", values!$A$2, "")</f>
        <v/>
      </c>
      <c r="N458" s="33" t="str">
        <f aca="false">IF(C458&lt;&gt;"", O458-L458, "")</f>
        <v/>
      </c>
      <c r="O458" s="33" t="str">
        <f aca="false">IF(C458&lt;&gt;"", L458/(1-M458), "")</f>
        <v/>
      </c>
    </row>
    <row r="459" customFormat="false" ht="12.8" hidden="false" customHeight="false" outlineLevel="0" collapsed="false">
      <c r="A459" s="1" t="s">
        <v>1872</v>
      </c>
      <c r="B459" s="31" t="s">
        <v>1873</v>
      </c>
      <c r="D459" s="32" t="str">
        <f aca="true">IF(C459&lt;&gt;"", SUM(INDEX(INDIRECT("'" &amp; B459 &amp; "'.$A$1:$Z$1000"), 0, MATCH("count", INDIRECT("'" &amp; B459 &amp; "'.$A$1:$Z$1"), 0))), "")</f>
        <v/>
      </c>
      <c r="E459" s="33" t="str">
        <f aca="true">IF(C459&lt;&gt;"", SUM(INDEX(INDIRECT("'" &amp; B459 &amp; "'.$A$1:$Z$1000"), 0, MATCH("cost", INDIRECT("'" &amp; B459 &amp; "'.$A$1:$Z$1"), 0))), "")</f>
        <v/>
      </c>
      <c r="F459" s="40" t="str">
        <f aca="true">IF(C459&lt;&gt;"", SUM(INDEX(INDIRECT("'" &amp; B459 &amp; "'.$A$1:$Z$1000"), 0, MATCH("total_assembly_time_min", INDIRECT("'" &amp; B459 &amp; "'.$A$1:$Z$1"), 0)))/60, "")</f>
        <v/>
      </c>
      <c r="G459" s="33" t="str">
        <f aca="false">IF(C459&lt;&gt;"", values!$B$2, "")</f>
        <v/>
      </c>
      <c r="H459" s="33" t="str">
        <f aca="false">IF(C459&lt;&gt;"", F459*G459, "")</f>
        <v/>
      </c>
      <c r="I459" s="33" t="str">
        <f aca="false">IF(C459&lt;&gt;"", H459+E459, "")</f>
        <v/>
      </c>
      <c r="K459" s="33" t="str">
        <f aca="false">IF(C459&lt;&gt;"", L459-I459, "")</f>
        <v/>
      </c>
      <c r="L459" s="33" t="str">
        <f aca="false">IF(C459&lt;&gt;"", I459/(1-J459), "")</f>
        <v/>
      </c>
      <c r="M459" s="33" t="str">
        <f aca="false">IF(C459&lt;&gt;"", values!$A$2, "")</f>
        <v/>
      </c>
      <c r="N459" s="33" t="str">
        <f aca="false">IF(C459&lt;&gt;"", O459-L459, "")</f>
        <v/>
      </c>
      <c r="O459" s="33" t="str">
        <f aca="false">IF(C459&lt;&gt;"", L459/(1-M459), "")</f>
        <v/>
      </c>
    </row>
    <row r="460" customFormat="false" ht="12.8" hidden="false" customHeight="false" outlineLevel="0" collapsed="false">
      <c r="A460" s="1" t="s">
        <v>1874</v>
      </c>
      <c r="B460" s="31" t="s">
        <v>1875</v>
      </c>
      <c r="D460" s="32" t="str">
        <f aca="true">IF(C460&lt;&gt;"", SUM(INDEX(INDIRECT("'" &amp; B460 &amp; "'.$A$1:$Z$1000"), 0, MATCH("count", INDIRECT("'" &amp; B460 &amp; "'.$A$1:$Z$1"), 0))), "")</f>
        <v/>
      </c>
      <c r="E460" s="33" t="str">
        <f aca="true">IF(C460&lt;&gt;"", SUM(INDEX(INDIRECT("'" &amp; B460 &amp; "'.$A$1:$Z$1000"), 0, MATCH("cost", INDIRECT("'" &amp; B460 &amp; "'.$A$1:$Z$1"), 0))), "")</f>
        <v/>
      </c>
      <c r="F460" s="40" t="str">
        <f aca="true">IF(C460&lt;&gt;"", SUM(INDEX(INDIRECT("'" &amp; B460 &amp; "'.$A$1:$Z$1000"), 0, MATCH("total_assembly_time_min", INDIRECT("'" &amp; B460 &amp; "'.$A$1:$Z$1"), 0)))/60, "")</f>
        <v/>
      </c>
      <c r="G460" s="33" t="str">
        <f aca="false">IF(C460&lt;&gt;"", values!$B$2, "")</f>
        <v/>
      </c>
      <c r="H460" s="33" t="str">
        <f aca="false">IF(C460&lt;&gt;"", F460*G460, "")</f>
        <v/>
      </c>
      <c r="I460" s="33" t="str">
        <f aca="false">IF(C460&lt;&gt;"", H460+E460, "")</f>
        <v/>
      </c>
      <c r="K460" s="33" t="str">
        <f aca="false">IF(C460&lt;&gt;"", L460-I460, "")</f>
        <v/>
      </c>
      <c r="L460" s="33" t="str">
        <f aca="false">IF(C460&lt;&gt;"", I460/(1-J460), "")</f>
        <v/>
      </c>
      <c r="M460" s="33" t="str">
        <f aca="false">IF(C460&lt;&gt;"", values!$A$2, "")</f>
        <v/>
      </c>
      <c r="N460" s="33" t="str">
        <f aca="false">IF(C460&lt;&gt;"", O460-L460, "")</f>
        <v/>
      </c>
      <c r="O460" s="33" t="str">
        <f aca="false">IF(C460&lt;&gt;"", L460/(1-M460), "")</f>
        <v/>
      </c>
    </row>
    <row r="461" customFormat="false" ht="12.8" hidden="false" customHeight="false" outlineLevel="0" collapsed="false">
      <c r="A461" s="1" t="s">
        <v>1876</v>
      </c>
      <c r="B461" s="31" t="s">
        <v>1877</v>
      </c>
      <c r="D461" s="32" t="str">
        <f aca="true">IF(C461&lt;&gt;"", SUM(INDEX(INDIRECT("'" &amp; B461 &amp; "'.$A$1:$Z$1000"), 0, MATCH("count", INDIRECT("'" &amp; B461 &amp; "'.$A$1:$Z$1"), 0))), "")</f>
        <v/>
      </c>
      <c r="E461" s="33" t="str">
        <f aca="true">IF(C461&lt;&gt;"", SUM(INDEX(INDIRECT("'" &amp; B461 &amp; "'.$A$1:$Z$1000"), 0, MATCH("cost", INDIRECT("'" &amp; B461 &amp; "'.$A$1:$Z$1"), 0))), "")</f>
        <v/>
      </c>
      <c r="F461" s="40" t="str">
        <f aca="true">IF(C461&lt;&gt;"", SUM(INDEX(INDIRECT("'" &amp; B461 &amp; "'.$A$1:$Z$1000"), 0, MATCH("total_assembly_time_min", INDIRECT("'" &amp; B461 &amp; "'.$A$1:$Z$1"), 0)))/60, "")</f>
        <v/>
      </c>
      <c r="G461" s="33" t="str">
        <f aca="false">IF(C461&lt;&gt;"", values!$B$2, "")</f>
        <v/>
      </c>
      <c r="H461" s="33" t="str">
        <f aca="false">IF(C461&lt;&gt;"", F461*G461, "")</f>
        <v/>
      </c>
      <c r="I461" s="33" t="str">
        <f aca="false">IF(C461&lt;&gt;"", H461+E461, "")</f>
        <v/>
      </c>
      <c r="K461" s="33" t="str">
        <f aca="false">IF(C461&lt;&gt;"", L461-I461, "")</f>
        <v/>
      </c>
      <c r="L461" s="33" t="str">
        <f aca="false">IF(C461&lt;&gt;"", I461/(1-J461), "")</f>
        <v/>
      </c>
      <c r="M461" s="33" t="str">
        <f aca="false">IF(C461&lt;&gt;"", values!$A$2, "")</f>
        <v/>
      </c>
      <c r="N461" s="33" t="str">
        <f aca="false">IF(C461&lt;&gt;"", O461-L461, "")</f>
        <v/>
      </c>
      <c r="O461" s="33" t="str">
        <f aca="false">IF(C461&lt;&gt;"", L461/(1-M461), "")</f>
        <v/>
      </c>
    </row>
    <row r="462" customFormat="false" ht="12.8" hidden="false" customHeight="false" outlineLevel="0" collapsed="false">
      <c r="A462" s="1" t="s">
        <v>1878</v>
      </c>
      <c r="B462" s="31" t="s">
        <v>1879</v>
      </c>
      <c r="D462" s="32" t="str">
        <f aca="true">IF(C462&lt;&gt;"", SUM(INDEX(INDIRECT("'" &amp; B462 &amp; "'.$A$1:$Z$1000"), 0, MATCH("count", INDIRECT("'" &amp; B462 &amp; "'.$A$1:$Z$1"), 0))), "")</f>
        <v/>
      </c>
      <c r="E462" s="33" t="str">
        <f aca="true">IF(C462&lt;&gt;"", SUM(INDEX(INDIRECT("'" &amp; B462 &amp; "'.$A$1:$Z$1000"), 0, MATCH("cost", INDIRECT("'" &amp; B462 &amp; "'.$A$1:$Z$1"), 0))), "")</f>
        <v/>
      </c>
      <c r="F462" s="40" t="str">
        <f aca="true">IF(C462&lt;&gt;"", SUM(INDEX(INDIRECT("'" &amp; B462 &amp; "'.$A$1:$Z$1000"), 0, MATCH("total_assembly_time_min", INDIRECT("'" &amp; B462 &amp; "'.$A$1:$Z$1"), 0)))/60, "")</f>
        <v/>
      </c>
      <c r="G462" s="33" t="str">
        <f aca="false">IF(C462&lt;&gt;"", values!$B$2, "")</f>
        <v/>
      </c>
      <c r="H462" s="33" t="str">
        <f aca="false">IF(C462&lt;&gt;"", F462*G462, "")</f>
        <v/>
      </c>
      <c r="I462" s="33" t="str">
        <f aca="false">IF(C462&lt;&gt;"", H462+E462, "")</f>
        <v/>
      </c>
      <c r="K462" s="33" t="str">
        <f aca="false">IF(C462&lt;&gt;"", L462-I462, "")</f>
        <v/>
      </c>
      <c r="L462" s="33" t="str">
        <f aca="false">IF(C462&lt;&gt;"", I462/(1-J462), "")</f>
        <v/>
      </c>
      <c r="M462" s="33" t="str">
        <f aca="false">IF(C462&lt;&gt;"", values!$A$2, "")</f>
        <v/>
      </c>
      <c r="N462" s="33" t="str">
        <f aca="false">IF(C462&lt;&gt;"", O462-L462, "")</f>
        <v/>
      </c>
      <c r="O462" s="33" t="str">
        <f aca="false">IF(C462&lt;&gt;"", L462/(1-M462), "")</f>
        <v/>
      </c>
    </row>
    <row r="463" customFormat="false" ht="12.8" hidden="false" customHeight="false" outlineLevel="0" collapsed="false">
      <c r="A463" s="1" t="s">
        <v>1880</v>
      </c>
      <c r="B463" s="31" t="s">
        <v>1881</v>
      </c>
      <c r="D463" s="32" t="str">
        <f aca="true">IF(C463&lt;&gt;"", SUM(INDEX(INDIRECT("'" &amp; B463 &amp; "'.$A$1:$Z$1000"), 0, MATCH("count", INDIRECT("'" &amp; B463 &amp; "'.$A$1:$Z$1"), 0))), "")</f>
        <v/>
      </c>
      <c r="E463" s="33" t="str">
        <f aca="true">IF(C463&lt;&gt;"", SUM(INDEX(INDIRECT("'" &amp; B463 &amp; "'.$A$1:$Z$1000"), 0, MATCH("cost", INDIRECT("'" &amp; B463 &amp; "'.$A$1:$Z$1"), 0))), "")</f>
        <v/>
      </c>
      <c r="F463" s="40" t="str">
        <f aca="true">IF(C463&lt;&gt;"", SUM(INDEX(INDIRECT("'" &amp; B463 &amp; "'.$A$1:$Z$1000"), 0, MATCH("total_assembly_time_min", INDIRECT("'" &amp; B463 &amp; "'.$A$1:$Z$1"), 0)))/60, "")</f>
        <v/>
      </c>
      <c r="G463" s="33" t="str">
        <f aca="false">IF(C463&lt;&gt;"", values!$B$2, "")</f>
        <v/>
      </c>
      <c r="H463" s="33" t="str">
        <f aca="false">IF(C463&lt;&gt;"", F463*G463, "")</f>
        <v/>
      </c>
      <c r="I463" s="33" t="str">
        <f aca="false">IF(C463&lt;&gt;"", H463+E463, "")</f>
        <v/>
      </c>
      <c r="K463" s="33" t="str">
        <f aca="false">IF(C463&lt;&gt;"", L463-I463, "")</f>
        <v/>
      </c>
      <c r="L463" s="33" t="str">
        <f aca="false">IF(C463&lt;&gt;"", I463/(1-J463), "")</f>
        <v/>
      </c>
      <c r="M463" s="33" t="str">
        <f aca="false">IF(C463&lt;&gt;"", values!$A$2, "")</f>
        <v/>
      </c>
      <c r="N463" s="33" t="str">
        <f aca="false">IF(C463&lt;&gt;"", O463-L463, "")</f>
        <v/>
      </c>
      <c r="O463" s="33" t="str">
        <f aca="false">IF(C463&lt;&gt;"", L463/(1-M463), "")</f>
        <v/>
      </c>
    </row>
    <row r="464" customFormat="false" ht="12.8" hidden="false" customHeight="false" outlineLevel="0" collapsed="false">
      <c r="A464" s="1" t="s">
        <v>1882</v>
      </c>
      <c r="B464" s="31" t="s">
        <v>1883</v>
      </c>
      <c r="D464" s="32" t="str">
        <f aca="true">IF(C464&lt;&gt;"", SUM(INDEX(INDIRECT("'" &amp; B464 &amp; "'.$A$1:$Z$1000"), 0, MATCH("count", INDIRECT("'" &amp; B464 &amp; "'.$A$1:$Z$1"), 0))), "")</f>
        <v/>
      </c>
      <c r="E464" s="33" t="str">
        <f aca="true">IF(C464&lt;&gt;"", SUM(INDEX(INDIRECT("'" &amp; B464 &amp; "'.$A$1:$Z$1000"), 0, MATCH("cost", INDIRECT("'" &amp; B464 &amp; "'.$A$1:$Z$1"), 0))), "")</f>
        <v/>
      </c>
      <c r="F464" s="40" t="str">
        <f aca="true">IF(C464&lt;&gt;"", SUM(INDEX(INDIRECT("'" &amp; B464 &amp; "'.$A$1:$Z$1000"), 0, MATCH("total_assembly_time_min", INDIRECT("'" &amp; B464 &amp; "'.$A$1:$Z$1"), 0)))/60, "")</f>
        <v/>
      </c>
      <c r="G464" s="33" t="str">
        <f aca="false">IF(C464&lt;&gt;"", values!$B$2, "")</f>
        <v/>
      </c>
      <c r="H464" s="33" t="str">
        <f aca="false">IF(C464&lt;&gt;"", F464*G464, "")</f>
        <v/>
      </c>
      <c r="I464" s="33" t="str">
        <f aca="false">IF(C464&lt;&gt;"", H464+E464, "")</f>
        <v/>
      </c>
      <c r="K464" s="33" t="str">
        <f aca="false">IF(C464&lt;&gt;"", L464-I464, "")</f>
        <v/>
      </c>
      <c r="L464" s="33" t="str">
        <f aca="false">IF(C464&lt;&gt;"", I464/(1-J464), "")</f>
        <v/>
      </c>
      <c r="M464" s="33" t="str">
        <f aca="false">IF(C464&lt;&gt;"", values!$A$2, "")</f>
        <v/>
      </c>
      <c r="N464" s="33" t="str">
        <f aca="false">IF(C464&lt;&gt;"", O464-L464, "")</f>
        <v/>
      </c>
      <c r="O464" s="33" t="str">
        <f aca="false">IF(C464&lt;&gt;"", L464/(1-M464), "")</f>
        <v/>
      </c>
    </row>
    <row r="465" customFormat="false" ht="12.8" hidden="false" customHeight="false" outlineLevel="0" collapsed="false">
      <c r="A465" s="1" t="s">
        <v>1884</v>
      </c>
      <c r="B465" s="31" t="s">
        <v>1885</v>
      </c>
      <c r="D465" s="32" t="str">
        <f aca="true">IF(C465&lt;&gt;"", SUM(INDEX(INDIRECT("'" &amp; B465 &amp; "'.$A$1:$Z$1000"), 0, MATCH("count", INDIRECT("'" &amp; B465 &amp; "'.$A$1:$Z$1"), 0))), "")</f>
        <v/>
      </c>
      <c r="E465" s="33" t="str">
        <f aca="true">IF(C465&lt;&gt;"", SUM(INDEX(INDIRECT("'" &amp; B465 &amp; "'.$A$1:$Z$1000"), 0, MATCH("cost", INDIRECT("'" &amp; B465 &amp; "'.$A$1:$Z$1"), 0))), "")</f>
        <v/>
      </c>
      <c r="F465" s="40" t="str">
        <f aca="true">IF(C465&lt;&gt;"", SUM(INDEX(INDIRECT("'" &amp; B465 &amp; "'.$A$1:$Z$1000"), 0, MATCH("total_assembly_time_min", INDIRECT("'" &amp; B465 &amp; "'.$A$1:$Z$1"), 0)))/60, "")</f>
        <v/>
      </c>
      <c r="G465" s="33" t="str">
        <f aca="false">IF(C465&lt;&gt;"", values!$B$2, "")</f>
        <v/>
      </c>
      <c r="H465" s="33" t="str">
        <f aca="false">IF(C465&lt;&gt;"", F465*G465, "")</f>
        <v/>
      </c>
      <c r="I465" s="33" t="str">
        <f aca="false">IF(C465&lt;&gt;"", H465+E465, "")</f>
        <v/>
      </c>
      <c r="K465" s="33" t="str">
        <f aca="false">IF(C465&lt;&gt;"", L465-I465, "")</f>
        <v/>
      </c>
      <c r="L465" s="33" t="str">
        <f aca="false">IF(C465&lt;&gt;"", I465/(1-J465), "")</f>
        <v/>
      </c>
      <c r="M465" s="33" t="str">
        <f aca="false">IF(C465&lt;&gt;"", values!$A$2, "")</f>
        <v/>
      </c>
      <c r="N465" s="33" t="str">
        <f aca="false">IF(C465&lt;&gt;"", O465-L465, "")</f>
        <v/>
      </c>
      <c r="O465" s="33" t="str">
        <f aca="false">IF(C465&lt;&gt;"", L465/(1-M465), "")</f>
        <v/>
      </c>
    </row>
    <row r="466" customFormat="false" ht="12.8" hidden="false" customHeight="false" outlineLevel="0" collapsed="false">
      <c r="A466" s="1" t="s">
        <v>1886</v>
      </c>
      <c r="B466" s="31" t="s">
        <v>1887</v>
      </c>
      <c r="D466" s="32" t="str">
        <f aca="true">IF(C466&lt;&gt;"", SUM(INDEX(INDIRECT("'" &amp; B466 &amp; "'.$A$1:$Z$1000"), 0, MATCH("count", INDIRECT("'" &amp; B466 &amp; "'.$A$1:$Z$1"), 0))), "")</f>
        <v/>
      </c>
      <c r="E466" s="33" t="str">
        <f aca="true">IF(C466&lt;&gt;"", SUM(INDEX(INDIRECT("'" &amp; B466 &amp; "'.$A$1:$Z$1000"), 0, MATCH("cost", INDIRECT("'" &amp; B466 &amp; "'.$A$1:$Z$1"), 0))), "")</f>
        <v/>
      </c>
      <c r="F466" s="40" t="str">
        <f aca="true">IF(C466&lt;&gt;"", SUM(INDEX(INDIRECT("'" &amp; B466 &amp; "'.$A$1:$Z$1000"), 0, MATCH("total_assembly_time_min", INDIRECT("'" &amp; B466 &amp; "'.$A$1:$Z$1"), 0)))/60, "")</f>
        <v/>
      </c>
      <c r="G466" s="33" t="str">
        <f aca="false">IF(C466&lt;&gt;"", values!$B$2, "")</f>
        <v/>
      </c>
      <c r="H466" s="33" t="str">
        <f aca="false">IF(C466&lt;&gt;"", F466*G466, "")</f>
        <v/>
      </c>
      <c r="I466" s="33" t="str">
        <f aca="false">IF(C466&lt;&gt;"", H466+E466, "")</f>
        <v/>
      </c>
      <c r="K466" s="33" t="str">
        <f aca="false">IF(C466&lt;&gt;"", L466-I466, "")</f>
        <v/>
      </c>
      <c r="L466" s="33" t="str">
        <f aca="false">IF(C466&lt;&gt;"", I466/(1-J466), "")</f>
        <v/>
      </c>
      <c r="M466" s="33" t="str">
        <f aca="false">IF(C466&lt;&gt;"", values!$A$2, "")</f>
        <v/>
      </c>
      <c r="N466" s="33" t="str">
        <f aca="false">IF(C466&lt;&gt;"", O466-L466, "")</f>
        <v/>
      </c>
      <c r="O466" s="33" t="str">
        <f aca="false">IF(C466&lt;&gt;"", L466/(1-M466), "")</f>
        <v/>
      </c>
    </row>
    <row r="467" customFormat="false" ht="12.8" hidden="false" customHeight="false" outlineLevel="0" collapsed="false">
      <c r="A467" s="1" t="s">
        <v>1888</v>
      </c>
      <c r="B467" s="31" t="s">
        <v>1889</v>
      </c>
      <c r="D467" s="32" t="str">
        <f aca="true">IF(C467&lt;&gt;"", SUM(INDEX(INDIRECT("'" &amp; B467 &amp; "'.$A$1:$Z$1000"), 0, MATCH("count", INDIRECT("'" &amp; B467 &amp; "'.$A$1:$Z$1"), 0))), "")</f>
        <v/>
      </c>
      <c r="E467" s="33" t="str">
        <f aca="true">IF(C467&lt;&gt;"", SUM(INDEX(INDIRECT("'" &amp; B467 &amp; "'.$A$1:$Z$1000"), 0, MATCH("cost", INDIRECT("'" &amp; B467 &amp; "'.$A$1:$Z$1"), 0))), "")</f>
        <v/>
      </c>
      <c r="F467" s="40" t="str">
        <f aca="true">IF(C467&lt;&gt;"", SUM(INDEX(INDIRECT("'" &amp; B467 &amp; "'.$A$1:$Z$1000"), 0, MATCH("total_assembly_time_min", INDIRECT("'" &amp; B467 &amp; "'.$A$1:$Z$1"), 0)))/60, "")</f>
        <v/>
      </c>
      <c r="G467" s="33" t="str">
        <f aca="false">IF(C467&lt;&gt;"", values!$B$2, "")</f>
        <v/>
      </c>
      <c r="H467" s="33" t="str">
        <f aca="false">IF(C467&lt;&gt;"", F467*G467, "")</f>
        <v/>
      </c>
      <c r="I467" s="33" t="str">
        <f aca="false">IF(C467&lt;&gt;"", H467+E467, "")</f>
        <v/>
      </c>
      <c r="K467" s="33" t="str">
        <f aca="false">IF(C467&lt;&gt;"", L467-I467, "")</f>
        <v/>
      </c>
      <c r="L467" s="33" t="str">
        <f aca="false">IF(C467&lt;&gt;"", I467/(1-J467), "")</f>
        <v/>
      </c>
      <c r="M467" s="33" t="str">
        <f aca="false">IF(C467&lt;&gt;"", values!$A$2, "")</f>
        <v/>
      </c>
      <c r="N467" s="33" t="str">
        <f aca="false">IF(C467&lt;&gt;"", O467-L467, "")</f>
        <v/>
      </c>
      <c r="O467" s="33" t="str">
        <f aca="false">IF(C467&lt;&gt;"", L467/(1-M467), "")</f>
        <v/>
      </c>
    </row>
    <row r="468" customFormat="false" ht="12.8" hidden="false" customHeight="false" outlineLevel="0" collapsed="false">
      <c r="A468" s="1" t="s">
        <v>1890</v>
      </c>
      <c r="B468" s="31" t="s">
        <v>1891</v>
      </c>
      <c r="D468" s="32" t="str">
        <f aca="true">IF(C468&lt;&gt;"", SUM(INDEX(INDIRECT("'" &amp; B468 &amp; "'.$A$1:$Z$1000"), 0, MATCH("count", INDIRECT("'" &amp; B468 &amp; "'.$A$1:$Z$1"), 0))), "")</f>
        <v/>
      </c>
      <c r="E468" s="33" t="str">
        <f aca="true">IF(C468&lt;&gt;"", SUM(INDEX(INDIRECT("'" &amp; B468 &amp; "'.$A$1:$Z$1000"), 0, MATCH("cost", INDIRECT("'" &amp; B468 &amp; "'.$A$1:$Z$1"), 0))), "")</f>
        <v/>
      </c>
      <c r="F468" s="40" t="str">
        <f aca="true">IF(C468&lt;&gt;"", SUM(INDEX(INDIRECT("'" &amp; B468 &amp; "'.$A$1:$Z$1000"), 0, MATCH("total_assembly_time_min", INDIRECT("'" &amp; B468 &amp; "'.$A$1:$Z$1"), 0)))/60, "")</f>
        <v/>
      </c>
      <c r="G468" s="33" t="str">
        <f aca="false">IF(C468&lt;&gt;"", values!$B$2, "")</f>
        <v/>
      </c>
      <c r="H468" s="33" t="str">
        <f aca="false">IF(C468&lt;&gt;"", F468*G468, "")</f>
        <v/>
      </c>
      <c r="I468" s="33" t="str">
        <f aca="false">IF(C468&lt;&gt;"", H468+E468, "")</f>
        <v/>
      </c>
      <c r="K468" s="33" t="str">
        <f aca="false">IF(C468&lt;&gt;"", L468-I468, "")</f>
        <v/>
      </c>
      <c r="L468" s="33" t="str">
        <f aca="false">IF(C468&lt;&gt;"", I468/(1-J468), "")</f>
        <v/>
      </c>
      <c r="M468" s="33" t="str">
        <f aca="false">IF(C468&lt;&gt;"", values!$A$2, "")</f>
        <v/>
      </c>
      <c r="N468" s="33" t="str">
        <f aca="false">IF(C468&lt;&gt;"", O468-L468, "")</f>
        <v/>
      </c>
      <c r="O468" s="33" t="str">
        <f aca="false">IF(C468&lt;&gt;"", L468/(1-M468), "")</f>
        <v/>
      </c>
    </row>
    <row r="469" customFormat="false" ht="12.8" hidden="false" customHeight="false" outlineLevel="0" collapsed="false">
      <c r="A469" s="1" t="s">
        <v>1892</v>
      </c>
      <c r="B469" s="31" t="s">
        <v>1893</v>
      </c>
      <c r="D469" s="32" t="str">
        <f aca="true">IF(C469&lt;&gt;"", SUM(INDEX(INDIRECT("'" &amp; B469 &amp; "'.$A$1:$Z$1000"), 0, MATCH("count", INDIRECT("'" &amp; B469 &amp; "'.$A$1:$Z$1"), 0))), "")</f>
        <v/>
      </c>
      <c r="E469" s="33" t="str">
        <f aca="true">IF(C469&lt;&gt;"", SUM(INDEX(INDIRECT("'" &amp; B469 &amp; "'.$A$1:$Z$1000"), 0, MATCH("cost", INDIRECT("'" &amp; B469 &amp; "'.$A$1:$Z$1"), 0))), "")</f>
        <v/>
      </c>
      <c r="F469" s="40" t="str">
        <f aca="true">IF(C469&lt;&gt;"", SUM(INDEX(INDIRECT("'" &amp; B469 &amp; "'.$A$1:$Z$1000"), 0, MATCH("total_assembly_time_min", INDIRECT("'" &amp; B469 &amp; "'.$A$1:$Z$1"), 0)))/60, "")</f>
        <v/>
      </c>
      <c r="G469" s="33" t="str">
        <f aca="false">IF(C469&lt;&gt;"", values!$B$2, "")</f>
        <v/>
      </c>
      <c r="H469" s="33" t="str">
        <f aca="false">IF(C469&lt;&gt;"", F469*G469, "")</f>
        <v/>
      </c>
      <c r="I469" s="33" t="str">
        <f aca="false">IF(C469&lt;&gt;"", H469+E469, "")</f>
        <v/>
      </c>
      <c r="K469" s="33" t="str">
        <f aca="false">IF(C469&lt;&gt;"", L469-I469, "")</f>
        <v/>
      </c>
      <c r="L469" s="33" t="str">
        <f aca="false">IF(C469&lt;&gt;"", I469/(1-J469), "")</f>
        <v/>
      </c>
      <c r="M469" s="33" t="str">
        <f aca="false">IF(C469&lt;&gt;"", values!$A$2, "")</f>
        <v/>
      </c>
      <c r="N469" s="33" t="str">
        <f aca="false">IF(C469&lt;&gt;"", O469-L469, "")</f>
        <v/>
      </c>
      <c r="O469" s="33" t="str">
        <f aca="false">IF(C469&lt;&gt;"", L469/(1-M469), "")</f>
        <v/>
      </c>
    </row>
    <row r="470" customFormat="false" ht="12.8" hidden="false" customHeight="false" outlineLevel="0" collapsed="false">
      <c r="A470" s="1" t="s">
        <v>1894</v>
      </c>
      <c r="B470" s="31" t="s">
        <v>1895</v>
      </c>
      <c r="D470" s="32" t="str">
        <f aca="true">IF(C470&lt;&gt;"", SUM(INDEX(INDIRECT("'" &amp; B470 &amp; "'.$A$1:$Z$1000"), 0, MATCH("count", INDIRECT("'" &amp; B470 &amp; "'.$A$1:$Z$1"), 0))), "")</f>
        <v/>
      </c>
      <c r="E470" s="33" t="str">
        <f aca="true">IF(C470&lt;&gt;"", SUM(INDEX(INDIRECT("'" &amp; B470 &amp; "'.$A$1:$Z$1000"), 0, MATCH("cost", INDIRECT("'" &amp; B470 &amp; "'.$A$1:$Z$1"), 0))), "")</f>
        <v/>
      </c>
      <c r="F470" s="40" t="str">
        <f aca="true">IF(C470&lt;&gt;"", SUM(INDEX(INDIRECT("'" &amp; B470 &amp; "'.$A$1:$Z$1000"), 0, MATCH("total_assembly_time_min", INDIRECT("'" &amp; B470 &amp; "'.$A$1:$Z$1"), 0)))/60, "")</f>
        <v/>
      </c>
      <c r="G470" s="33" t="str">
        <f aca="false">IF(C470&lt;&gt;"", values!$B$2, "")</f>
        <v/>
      </c>
      <c r="H470" s="33" t="str">
        <f aca="false">IF(C470&lt;&gt;"", F470*G470, "")</f>
        <v/>
      </c>
      <c r="I470" s="33" t="str">
        <f aca="false">IF(C470&lt;&gt;"", H470+E470, "")</f>
        <v/>
      </c>
      <c r="K470" s="33" t="str">
        <f aca="false">IF(C470&lt;&gt;"", L470-I470, "")</f>
        <v/>
      </c>
      <c r="L470" s="33" t="str">
        <f aca="false">IF(C470&lt;&gt;"", I470/(1-J470), "")</f>
        <v/>
      </c>
      <c r="M470" s="33" t="str">
        <f aca="false">IF(C470&lt;&gt;"", values!$A$2, "")</f>
        <v/>
      </c>
      <c r="N470" s="33" t="str">
        <f aca="false">IF(C470&lt;&gt;"", O470-L470, "")</f>
        <v/>
      </c>
      <c r="O470" s="33" t="str">
        <f aca="false">IF(C470&lt;&gt;"", L470/(1-M470), "")</f>
        <v/>
      </c>
    </row>
    <row r="471" customFormat="false" ht="12.8" hidden="false" customHeight="false" outlineLevel="0" collapsed="false">
      <c r="A471" s="1" t="s">
        <v>1896</v>
      </c>
      <c r="B471" s="31" t="s">
        <v>1897</v>
      </c>
      <c r="D471" s="32" t="str">
        <f aca="true">IF(C471&lt;&gt;"", SUM(INDEX(INDIRECT("'" &amp; B471 &amp; "'.$A$1:$Z$1000"), 0, MATCH("count", INDIRECT("'" &amp; B471 &amp; "'.$A$1:$Z$1"), 0))), "")</f>
        <v/>
      </c>
      <c r="E471" s="33" t="str">
        <f aca="true">IF(C471&lt;&gt;"", SUM(INDEX(INDIRECT("'" &amp; B471 &amp; "'.$A$1:$Z$1000"), 0, MATCH("cost", INDIRECT("'" &amp; B471 &amp; "'.$A$1:$Z$1"), 0))), "")</f>
        <v/>
      </c>
      <c r="F471" s="40" t="str">
        <f aca="true">IF(C471&lt;&gt;"", SUM(INDEX(INDIRECT("'" &amp; B471 &amp; "'.$A$1:$Z$1000"), 0, MATCH("total_assembly_time_min", INDIRECT("'" &amp; B471 &amp; "'.$A$1:$Z$1"), 0)))/60, "")</f>
        <v/>
      </c>
      <c r="G471" s="33" t="str">
        <f aca="false">IF(C471&lt;&gt;"", values!$B$2, "")</f>
        <v/>
      </c>
      <c r="H471" s="33" t="str">
        <f aca="false">IF(C471&lt;&gt;"", F471*G471, "")</f>
        <v/>
      </c>
      <c r="I471" s="33" t="str">
        <f aca="false">IF(C471&lt;&gt;"", H471+E471, "")</f>
        <v/>
      </c>
      <c r="K471" s="33" t="str">
        <f aca="false">IF(C471&lt;&gt;"", L471-I471, "")</f>
        <v/>
      </c>
      <c r="L471" s="33" t="str">
        <f aca="false">IF(C471&lt;&gt;"", I471/(1-J471), "")</f>
        <v/>
      </c>
      <c r="M471" s="33" t="str">
        <f aca="false">IF(C471&lt;&gt;"", values!$A$2, "")</f>
        <v/>
      </c>
      <c r="N471" s="33" t="str">
        <f aca="false">IF(C471&lt;&gt;"", O471-L471, "")</f>
        <v/>
      </c>
      <c r="O471" s="33" t="str">
        <f aca="false">IF(C471&lt;&gt;"", L471/(1-M471), "")</f>
        <v/>
      </c>
    </row>
    <row r="472" customFormat="false" ht="12.8" hidden="false" customHeight="false" outlineLevel="0" collapsed="false">
      <c r="A472" s="1" t="s">
        <v>1898</v>
      </c>
      <c r="B472" s="31" t="s">
        <v>1899</v>
      </c>
      <c r="D472" s="32" t="str">
        <f aca="true">IF(C472&lt;&gt;"", SUM(INDEX(INDIRECT("'" &amp; B472 &amp; "'.$A$1:$Z$1000"), 0, MATCH("count", INDIRECT("'" &amp; B472 &amp; "'.$A$1:$Z$1"), 0))), "")</f>
        <v/>
      </c>
      <c r="E472" s="33" t="str">
        <f aca="true">IF(C472&lt;&gt;"", SUM(INDEX(INDIRECT("'" &amp; B472 &amp; "'.$A$1:$Z$1000"), 0, MATCH("cost", INDIRECT("'" &amp; B472 &amp; "'.$A$1:$Z$1"), 0))), "")</f>
        <v/>
      </c>
      <c r="F472" s="40" t="str">
        <f aca="true">IF(C472&lt;&gt;"", SUM(INDEX(INDIRECT("'" &amp; B472 &amp; "'.$A$1:$Z$1000"), 0, MATCH("total_assembly_time_min", INDIRECT("'" &amp; B472 &amp; "'.$A$1:$Z$1"), 0)))/60, "")</f>
        <v/>
      </c>
      <c r="G472" s="33" t="str">
        <f aca="false">IF(C472&lt;&gt;"", values!$B$2, "")</f>
        <v/>
      </c>
      <c r="H472" s="33" t="str">
        <f aca="false">IF(C472&lt;&gt;"", F472*G472, "")</f>
        <v/>
      </c>
      <c r="I472" s="33" t="str">
        <f aca="false">IF(C472&lt;&gt;"", H472+E472, "")</f>
        <v/>
      </c>
      <c r="K472" s="33" t="str">
        <f aca="false">IF(C472&lt;&gt;"", L472-I472, "")</f>
        <v/>
      </c>
      <c r="L472" s="33" t="str">
        <f aca="false">IF(C472&lt;&gt;"", I472/(1-J472), "")</f>
        <v/>
      </c>
      <c r="M472" s="33" t="str">
        <f aca="false">IF(C472&lt;&gt;"", values!$A$2, "")</f>
        <v/>
      </c>
      <c r="N472" s="33" t="str">
        <f aca="false">IF(C472&lt;&gt;"", O472-L472, "")</f>
        <v/>
      </c>
      <c r="O472" s="33" t="str">
        <f aca="false">IF(C472&lt;&gt;"", L472/(1-M472), "")</f>
        <v/>
      </c>
    </row>
    <row r="473" customFormat="false" ht="12.8" hidden="false" customHeight="false" outlineLevel="0" collapsed="false">
      <c r="A473" s="1" t="s">
        <v>1900</v>
      </c>
      <c r="B473" s="31" t="s">
        <v>1901</v>
      </c>
      <c r="D473" s="32" t="str">
        <f aca="true">IF(C473&lt;&gt;"", SUM(INDEX(INDIRECT("'" &amp; B473 &amp; "'.$A$1:$Z$1000"), 0, MATCH("count", INDIRECT("'" &amp; B473 &amp; "'.$A$1:$Z$1"), 0))), "")</f>
        <v/>
      </c>
      <c r="E473" s="33" t="str">
        <f aca="true">IF(C473&lt;&gt;"", SUM(INDEX(INDIRECT("'" &amp; B473 &amp; "'.$A$1:$Z$1000"), 0, MATCH("cost", INDIRECT("'" &amp; B473 &amp; "'.$A$1:$Z$1"), 0))), "")</f>
        <v/>
      </c>
      <c r="F473" s="40" t="str">
        <f aca="true">IF(C473&lt;&gt;"", SUM(INDEX(INDIRECT("'" &amp; B473 &amp; "'.$A$1:$Z$1000"), 0, MATCH("total_assembly_time_min", INDIRECT("'" &amp; B473 &amp; "'.$A$1:$Z$1"), 0)))/60, "")</f>
        <v/>
      </c>
      <c r="G473" s="33" t="str">
        <f aca="false">IF(C473&lt;&gt;"", values!$B$2, "")</f>
        <v/>
      </c>
      <c r="H473" s="33" t="str">
        <f aca="false">IF(C473&lt;&gt;"", F473*G473, "")</f>
        <v/>
      </c>
      <c r="I473" s="33" t="str">
        <f aca="false">IF(C473&lt;&gt;"", H473+E473, "")</f>
        <v/>
      </c>
      <c r="K473" s="33" t="str">
        <f aca="false">IF(C473&lt;&gt;"", L473-I473, "")</f>
        <v/>
      </c>
      <c r="L473" s="33" t="str">
        <f aca="false">IF(C473&lt;&gt;"", I473/(1-J473), "")</f>
        <v/>
      </c>
      <c r="M473" s="33" t="str">
        <f aca="false">IF(C473&lt;&gt;"", values!$A$2, "")</f>
        <v/>
      </c>
      <c r="N473" s="33" t="str">
        <f aca="false">IF(C473&lt;&gt;"", O473-L473, "")</f>
        <v/>
      </c>
      <c r="O473" s="33" t="str">
        <f aca="false">IF(C473&lt;&gt;"", L473/(1-M473), "")</f>
        <v/>
      </c>
    </row>
    <row r="474" customFormat="false" ht="12.8" hidden="false" customHeight="false" outlineLevel="0" collapsed="false">
      <c r="A474" s="1" t="s">
        <v>1902</v>
      </c>
      <c r="B474" s="31" t="s">
        <v>1903</v>
      </c>
      <c r="D474" s="32" t="str">
        <f aca="true">IF(C474&lt;&gt;"", SUM(INDEX(INDIRECT("'" &amp; B474 &amp; "'.$A$1:$Z$1000"), 0, MATCH("count", INDIRECT("'" &amp; B474 &amp; "'.$A$1:$Z$1"), 0))), "")</f>
        <v/>
      </c>
      <c r="E474" s="33" t="str">
        <f aca="true">IF(C474&lt;&gt;"", SUM(INDEX(INDIRECT("'" &amp; B474 &amp; "'.$A$1:$Z$1000"), 0, MATCH("cost", INDIRECT("'" &amp; B474 &amp; "'.$A$1:$Z$1"), 0))), "")</f>
        <v/>
      </c>
      <c r="F474" s="40" t="str">
        <f aca="true">IF(C474&lt;&gt;"", SUM(INDEX(INDIRECT("'" &amp; B474 &amp; "'.$A$1:$Z$1000"), 0, MATCH("total_assembly_time_min", INDIRECT("'" &amp; B474 &amp; "'.$A$1:$Z$1"), 0)))/60, "")</f>
        <v/>
      </c>
      <c r="G474" s="33" t="str">
        <f aca="false">IF(C474&lt;&gt;"", values!$B$2, "")</f>
        <v/>
      </c>
      <c r="H474" s="33" t="str">
        <f aca="false">IF(C474&lt;&gt;"", F474*G474, "")</f>
        <v/>
      </c>
      <c r="I474" s="33" t="str">
        <f aca="false">IF(C474&lt;&gt;"", H474+E474, "")</f>
        <v/>
      </c>
      <c r="K474" s="33" t="str">
        <f aca="false">IF(C474&lt;&gt;"", L474-I474, "")</f>
        <v/>
      </c>
      <c r="L474" s="33" t="str">
        <f aca="false">IF(C474&lt;&gt;"", I474/(1-J474), "")</f>
        <v/>
      </c>
      <c r="M474" s="33" t="str">
        <f aca="false">IF(C474&lt;&gt;"", values!$A$2, "")</f>
        <v/>
      </c>
      <c r="N474" s="33" t="str">
        <f aca="false">IF(C474&lt;&gt;"", O474-L474, "")</f>
        <v/>
      </c>
      <c r="O474" s="33" t="str">
        <f aca="false">IF(C474&lt;&gt;"", L474/(1-M474), "")</f>
        <v/>
      </c>
    </row>
    <row r="475" customFormat="false" ht="12.8" hidden="false" customHeight="false" outlineLevel="0" collapsed="false">
      <c r="A475" s="1" t="s">
        <v>1904</v>
      </c>
      <c r="B475" s="31" t="s">
        <v>1905</v>
      </c>
      <c r="D475" s="32" t="str">
        <f aca="true">IF(C475&lt;&gt;"", SUM(INDEX(INDIRECT("'" &amp; B475 &amp; "'.$A$1:$Z$1000"), 0, MATCH("count", INDIRECT("'" &amp; B475 &amp; "'.$A$1:$Z$1"), 0))), "")</f>
        <v/>
      </c>
      <c r="E475" s="33" t="str">
        <f aca="true">IF(C475&lt;&gt;"", SUM(INDEX(INDIRECT("'" &amp; B475 &amp; "'.$A$1:$Z$1000"), 0, MATCH("cost", INDIRECT("'" &amp; B475 &amp; "'.$A$1:$Z$1"), 0))), "")</f>
        <v/>
      </c>
      <c r="F475" s="40" t="str">
        <f aca="true">IF(C475&lt;&gt;"", SUM(INDEX(INDIRECT("'" &amp; B475 &amp; "'.$A$1:$Z$1000"), 0, MATCH("total_assembly_time_min", INDIRECT("'" &amp; B475 &amp; "'.$A$1:$Z$1"), 0)))/60, "")</f>
        <v/>
      </c>
      <c r="G475" s="33" t="str">
        <f aca="false">IF(C475&lt;&gt;"", values!$B$2, "")</f>
        <v/>
      </c>
      <c r="H475" s="33" t="str">
        <f aca="false">IF(C475&lt;&gt;"", F475*G475, "")</f>
        <v/>
      </c>
      <c r="I475" s="33" t="str">
        <f aca="false">IF(C475&lt;&gt;"", H475+E475, "")</f>
        <v/>
      </c>
      <c r="K475" s="33" t="str">
        <f aca="false">IF(C475&lt;&gt;"", L475-I475, "")</f>
        <v/>
      </c>
      <c r="L475" s="33" t="str">
        <f aca="false">IF(C475&lt;&gt;"", I475/(1-J475), "")</f>
        <v/>
      </c>
      <c r="M475" s="33" t="str">
        <f aca="false">IF(C475&lt;&gt;"", values!$A$2, "")</f>
        <v/>
      </c>
      <c r="N475" s="33" t="str">
        <f aca="false">IF(C475&lt;&gt;"", O475-L475, "")</f>
        <v/>
      </c>
      <c r="O475" s="33" t="str">
        <f aca="false">IF(C475&lt;&gt;"", L475/(1-M475), "")</f>
        <v/>
      </c>
    </row>
    <row r="476" customFormat="false" ht="12.8" hidden="false" customHeight="false" outlineLevel="0" collapsed="false">
      <c r="A476" s="1" t="s">
        <v>1906</v>
      </c>
      <c r="B476" s="31" t="s">
        <v>1907</v>
      </c>
      <c r="D476" s="32" t="str">
        <f aca="true">IF(C476&lt;&gt;"", SUM(INDEX(INDIRECT("'" &amp; B476 &amp; "'.$A$1:$Z$1000"), 0, MATCH("count", INDIRECT("'" &amp; B476 &amp; "'.$A$1:$Z$1"), 0))), "")</f>
        <v/>
      </c>
      <c r="E476" s="33" t="str">
        <f aca="true">IF(C476&lt;&gt;"", SUM(INDEX(INDIRECT("'" &amp; B476 &amp; "'.$A$1:$Z$1000"), 0, MATCH("cost", INDIRECT("'" &amp; B476 &amp; "'.$A$1:$Z$1"), 0))), "")</f>
        <v/>
      </c>
      <c r="F476" s="40" t="str">
        <f aca="true">IF(C476&lt;&gt;"", SUM(INDEX(INDIRECT("'" &amp; B476 &amp; "'.$A$1:$Z$1000"), 0, MATCH("total_assembly_time_min", INDIRECT("'" &amp; B476 &amp; "'.$A$1:$Z$1"), 0)))/60, "")</f>
        <v/>
      </c>
      <c r="G476" s="33" t="str">
        <f aca="false">IF(C476&lt;&gt;"", values!$B$2, "")</f>
        <v/>
      </c>
      <c r="H476" s="33" t="str">
        <f aca="false">IF(C476&lt;&gt;"", F476*G476, "")</f>
        <v/>
      </c>
      <c r="I476" s="33" t="str">
        <f aca="false">IF(C476&lt;&gt;"", H476+E476, "")</f>
        <v/>
      </c>
      <c r="K476" s="33" t="str">
        <f aca="false">IF(C476&lt;&gt;"", L476-I476, "")</f>
        <v/>
      </c>
      <c r="L476" s="33" t="str">
        <f aca="false">IF(C476&lt;&gt;"", I476/(1-J476), "")</f>
        <v/>
      </c>
      <c r="M476" s="33" t="str">
        <f aca="false">IF(C476&lt;&gt;"", values!$A$2, "")</f>
        <v/>
      </c>
      <c r="N476" s="33" t="str">
        <f aca="false">IF(C476&lt;&gt;"", O476-L476, "")</f>
        <v/>
      </c>
      <c r="O476" s="33" t="str">
        <f aca="false">IF(C476&lt;&gt;"", L476/(1-M476), "")</f>
        <v/>
      </c>
    </row>
    <row r="477" customFormat="false" ht="12.8" hidden="false" customHeight="false" outlineLevel="0" collapsed="false">
      <c r="A477" s="1" t="s">
        <v>1908</v>
      </c>
      <c r="B477" s="31" t="s">
        <v>1909</v>
      </c>
      <c r="D477" s="32" t="str">
        <f aca="true">IF(C477&lt;&gt;"", SUM(INDEX(INDIRECT("'" &amp; B477 &amp; "'.$A$1:$Z$1000"), 0, MATCH("count", INDIRECT("'" &amp; B477 &amp; "'.$A$1:$Z$1"), 0))), "")</f>
        <v/>
      </c>
      <c r="E477" s="33" t="str">
        <f aca="true">IF(C477&lt;&gt;"", SUM(INDEX(INDIRECT("'" &amp; B477 &amp; "'.$A$1:$Z$1000"), 0, MATCH("cost", INDIRECT("'" &amp; B477 &amp; "'.$A$1:$Z$1"), 0))), "")</f>
        <v/>
      </c>
      <c r="F477" s="40" t="str">
        <f aca="true">IF(C477&lt;&gt;"", SUM(INDEX(INDIRECT("'" &amp; B477 &amp; "'.$A$1:$Z$1000"), 0, MATCH("total_assembly_time_min", INDIRECT("'" &amp; B477 &amp; "'.$A$1:$Z$1"), 0)))/60, "")</f>
        <v/>
      </c>
      <c r="G477" s="33" t="str">
        <f aca="false">IF(C477&lt;&gt;"", values!$B$2, "")</f>
        <v/>
      </c>
      <c r="H477" s="33" t="str">
        <f aca="false">IF(C477&lt;&gt;"", F477*G477, "")</f>
        <v/>
      </c>
      <c r="I477" s="33" t="str">
        <f aca="false">IF(C477&lt;&gt;"", H477+E477, "")</f>
        <v/>
      </c>
      <c r="K477" s="33" t="str">
        <f aca="false">IF(C477&lt;&gt;"", L477-I477, "")</f>
        <v/>
      </c>
      <c r="L477" s="33" t="str">
        <f aca="false">IF(C477&lt;&gt;"", I477/(1-J477), "")</f>
        <v/>
      </c>
      <c r="M477" s="33" t="str">
        <f aca="false">IF(C477&lt;&gt;"", values!$A$2, "")</f>
        <v/>
      </c>
      <c r="N477" s="33" t="str">
        <f aca="false">IF(C477&lt;&gt;"", O477-L477, "")</f>
        <v/>
      </c>
      <c r="O477" s="33" t="str">
        <f aca="false">IF(C477&lt;&gt;"", L477/(1-M477), "")</f>
        <v/>
      </c>
    </row>
    <row r="478" customFormat="false" ht="12.8" hidden="false" customHeight="false" outlineLevel="0" collapsed="false">
      <c r="A478" s="1" t="s">
        <v>1910</v>
      </c>
      <c r="B478" s="31" t="s">
        <v>1911</v>
      </c>
      <c r="D478" s="32" t="str">
        <f aca="true">IF(C478&lt;&gt;"", SUM(INDEX(INDIRECT("'" &amp; B478 &amp; "'.$A$1:$Z$1000"), 0, MATCH("count", INDIRECT("'" &amp; B478 &amp; "'.$A$1:$Z$1"), 0))), "")</f>
        <v/>
      </c>
      <c r="E478" s="33" t="str">
        <f aca="true">IF(C478&lt;&gt;"", SUM(INDEX(INDIRECT("'" &amp; B478 &amp; "'.$A$1:$Z$1000"), 0, MATCH("cost", INDIRECT("'" &amp; B478 &amp; "'.$A$1:$Z$1"), 0))), "")</f>
        <v/>
      </c>
      <c r="F478" s="40" t="str">
        <f aca="true">IF(C478&lt;&gt;"", SUM(INDEX(INDIRECT("'" &amp; B478 &amp; "'.$A$1:$Z$1000"), 0, MATCH("total_assembly_time_min", INDIRECT("'" &amp; B478 &amp; "'.$A$1:$Z$1"), 0)))/60, "")</f>
        <v/>
      </c>
      <c r="G478" s="33" t="str">
        <f aca="false">IF(C478&lt;&gt;"", values!$B$2, "")</f>
        <v/>
      </c>
      <c r="H478" s="33" t="str">
        <f aca="false">IF(C478&lt;&gt;"", F478*G478, "")</f>
        <v/>
      </c>
      <c r="I478" s="33" t="str">
        <f aca="false">IF(C478&lt;&gt;"", H478+E478, "")</f>
        <v/>
      </c>
      <c r="K478" s="33" t="str">
        <f aca="false">IF(C478&lt;&gt;"", L478-I478, "")</f>
        <v/>
      </c>
      <c r="L478" s="33" t="str">
        <f aca="false">IF(C478&lt;&gt;"", I478/(1-J478), "")</f>
        <v/>
      </c>
      <c r="M478" s="33" t="str">
        <f aca="false">IF(C478&lt;&gt;"", values!$A$2, "")</f>
        <v/>
      </c>
      <c r="N478" s="33" t="str">
        <f aca="false">IF(C478&lt;&gt;"", O478-L478, "")</f>
        <v/>
      </c>
      <c r="O478" s="33" t="str">
        <f aca="false">IF(C478&lt;&gt;"", L478/(1-M478), "")</f>
        <v/>
      </c>
    </row>
    <row r="479" customFormat="false" ht="12.8" hidden="false" customHeight="false" outlineLevel="0" collapsed="false">
      <c r="A479" s="1" t="s">
        <v>1912</v>
      </c>
      <c r="B479" s="31" t="s">
        <v>1913</v>
      </c>
      <c r="D479" s="32" t="str">
        <f aca="true">IF(C479&lt;&gt;"", SUM(INDEX(INDIRECT("'" &amp; B479 &amp; "'.$A$1:$Z$1000"), 0, MATCH("count", INDIRECT("'" &amp; B479 &amp; "'.$A$1:$Z$1"), 0))), "")</f>
        <v/>
      </c>
      <c r="E479" s="33" t="str">
        <f aca="true">IF(C479&lt;&gt;"", SUM(INDEX(INDIRECT("'" &amp; B479 &amp; "'.$A$1:$Z$1000"), 0, MATCH("cost", INDIRECT("'" &amp; B479 &amp; "'.$A$1:$Z$1"), 0))), "")</f>
        <v/>
      </c>
      <c r="F479" s="40" t="str">
        <f aca="true">IF(C479&lt;&gt;"", SUM(INDEX(INDIRECT("'" &amp; B479 &amp; "'.$A$1:$Z$1000"), 0, MATCH("total_assembly_time_min", INDIRECT("'" &amp; B479 &amp; "'.$A$1:$Z$1"), 0)))/60, "")</f>
        <v/>
      </c>
      <c r="G479" s="33" t="str">
        <f aca="false">IF(C479&lt;&gt;"", values!$B$2, "")</f>
        <v/>
      </c>
      <c r="H479" s="33" t="str">
        <f aca="false">IF(C479&lt;&gt;"", F479*G479, "")</f>
        <v/>
      </c>
      <c r="I479" s="33" t="str">
        <f aca="false">IF(C479&lt;&gt;"", H479+E479, "")</f>
        <v/>
      </c>
      <c r="K479" s="33" t="str">
        <f aca="false">IF(C479&lt;&gt;"", L479-I479, "")</f>
        <v/>
      </c>
      <c r="L479" s="33" t="str">
        <f aca="false">IF(C479&lt;&gt;"", I479/(1-J479), "")</f>
        <v/>
      </c>
      <c r="M479" s="33" t="str">
        <f aca="false">IF(C479&lt;&gt;"", values!$A$2, "")</f>
        <v/>
      </c>
      <c r="N479" s="33" t="str">
        <f aca="false">IF(C479&lt;&gt;"", O479-L479, "")</f>
        <v/>
      </c>
      <c r="O479" s="33" t="str">
        <f aca="false">IF(C479&lt;&gt;"", L479/(1-M479), "")</f>
        <v/>
      </c>
    </row>
    <row r="480" customFormat="false" ht="12.8" hidden="false" customHeight="false" outlineLevel="0" collapsed="false">
      <c r="A480" s="1" t="s">
        <v>1914</v>
      </c>
      <c r="B480" s="31" t="s">
        <v>1915</v>
      </c>
      <c r="D480" s="32" t="str">
        <f aca="true">IF(C480&lt;&gt;"", SUM(INDEX(INDIRECT("'" &amp; B480 &amp; "'.$A$1:$Z$1000"), 0, MATCH("count", INDIRECT("'" &amp; B480 &amp; "'.$A$1:$Z$1"), 0))), "")</f>
        <v/>
      </c>
      <c r="E480" s="33" t="str">
        <f aca="true">IF(C480&lt;&gt;"", SUM(INDEX(INDIRECT("'" &amp; B480 &amp; "'.$A$1:$Z$1000"), 0, MATCH("cost", INDIRECT("'" &amp; B480 &amp; "'.$A$1:$Z$1"), 0))), "")</f>
        <v/>
      </c>
      <c r="F480" s="40" t="str">
        <f aca="true">IF(C480&lt;&gt;"", SUM(INDEX(INDIRECT("'" &amp; B480 &amp; "'.$A$1:$Z$1000"), 0, MATCH("total_assembly_time_min", INDIRECT("'" &amp; B480 &amp; "'.$A$1:$Z$1"), 0)))/60, "")</f>
        <v/>
      </c>
      <c r="G480" s="33" t="str">
        <f aca="false">IF(C480&lt;&gt;"", values!$B$2, "")</f>
        <v/>
      </c>
      <c r="H480" s="33" t="str">
        <f aca="false">IF(C480&lt;&gt;"", F480*G480, "")</f>
        <v/>
      </c>
      <c r="I480" s="33" t="str">
        <f aca="false">IF(C480&lt;&gt;"", H480+E480, "")</f>
        <v/>
      </c>
      <c r="K480" s="33" t="str">
        <f aca="false">IF(C480&lt;&gt;"", L480-I480, "")</f>
        <v/>
      </c>
      <c r="L480" s="33" t="str">
        <f aca="false">IF(C480&lt;&gt;"", I480/(1-J480), "")</f>
        <v/>
      </c>
      <c r="M480" s="33" t="str">
        <f aca="false">IF(C480&lt;&gt;"", values!$A$2, "")</f>
        <v/>
      </c>
      <c r="N480" s="33" t="str">
        <f aca="false">IF(C480&lt;&gt;"", O480-L480, "")</f>
        <v/>
      </c>
      <c r="O480" s="33" t="str">
        <f aca="false">IF(C480&lt;&gt;"", L480/(1-M480), "")</f>
        <v/>
      </c>
    </row>
    <row r="481" customFormat="false" ht="12.8" hidden="false" customHeight="false" outlineLevel="0" collapsed="false">
      <c r="A481" s="1" t="s">
        <v>1916</v>
      </c>
      <c r="B481" s="31" t="s">
        <v>1917</v>
      </c>
      <c r="D481" s="32" t="str">
        <f aca="true">IF(C481&lt;&gt;"", SUM(INDEX(INDIRECT("'" &amp; B481 &amp; "'.$A$1:$Z$1000"), 0, MATCH("count", INDIRECT("'" &amp; B481 &amp; "'.$A$1:$Z$1"), 0))), "")</f>
        <v/>
      </c>
      <c r="E481" s="33" t="str">
        <f aca="true">IF(C481&lt;&gt;"", SUM(INDEX(INDIRECT("'" &amp; B481 &amp; "'.$A$1:$Z$1000"), 0, MATCH("cost", INDIRECT("'" &amp; B481 &amp; "'.$A$1:$Z$1"), 0))), "")</f>
        <v/>
      </c>
      <c r="F481" s="40" t="str">
        <f aca="true">IF(C481&lt;&gt;"", SUM(INDEX(INDIRECT("'" &amp; B481 &amp; "'.$A$1:$Z$1000"), 0, MATCH("total_assembly_time_min", INDIRECT("'" &amp; B481 &amp; "'.$A$1:$Z$1"), 0)))/60, "")</f>
        <v/>
      </c>
      <c r="G481" s="33" t="str">
        <f aca="false">IF(C481&lt;&gt;"", values!$B$2, "")</f>
        <v/>
      </c>
      <c r="H481" s="33" t="str">
        <f aca="false">IF(C481&lt;&gt;"", F481*G481, "")</f>
        <v/>
      </c>
      <c r="I481" s="33" t="str">
        <f aca="false">IF(C481&lt;&gt;"", H481+E481, "")</f>
        <v/>
      </c>
      <c r="K481" s="33" t="str">
        <f aca="false">IF(C481&lt;&gt;"", L481-I481, "")</f>
        <v/>
      </c>
      <c r="L481" s="33" t="str">
        <f aca="false">IF(C481&lt;&gt;"", I481/(1-J481), "")</f>
        <v/>
      </c>
      <c r="M481" s="33" t="str">
        <f aca="false">IF(C481&lt;&gt;"", values!$A$2, "")</f>
        <v/>
      </c>
      <c r="N481" s="33" t="str">
        <f aca="false">IF(C481&lt;&gt;"", O481-L481, "")</f>
        <v/>
      </c>
      <c r="O481" s="33" t="str">
        <f aca="false">IF(C481&lt;&gt;"", L481/(1-M481), "")</f>
        <v/>
      </c>
    </row>
    <row r="482" customFormat="false" ht="12.8" hidden="false" customHeight="false" outlineLevel="0" collapsed="false">
      <c r="A482" s="1" t="s">
        <v>1918</v>
      </c>
      <c r="B482" s="31" t="s">
        <v>1919</v>
      </c>
      <c r="D482" s="32" t="str">
        <f aca="true">IF(C482&lt;&gt;"", SUM(INDEX(INDIRECT("'" &amp; B482 &amp; "'.$A$1:$Z$1000"), 0, MATCH("count", INDIRECT("'" &amp; B482 &amp; "'.$A$1:$Z$1"), 0))), "")</f>
        <v/>
      </c>
      <c r="E482" s="33" t="str">
        <f aca="true">IF(C482&lt;&gt;"", SUM(INDEX(INDIRECT("'" &amp; B482 &amp; "'.$A$1:$Z$1000"), 0, MATCH("cost", INDIRECT("'" &amp; B482 &amp; "'.$A$1:$Z$1"), 0))), "")</f>
        <v/>
      </c>
      <c r="F482" s="40" t="str">
        <f aca="true">IF(C482&lt;&gt;"", SUM(INDEX(INDIRECT("'" &amp; B482 &amp; "'.$A$1:$Z$1000"), 0, MATCH("total_assembly_time_min", INDIRECT("'" &amp; B482 &amp; "'.$A$1:$Z$1"), 0)))/60, "")</f>
        <v/>
      </c>
      <c r="G482" s="33" t="str">
        <f aca="false">IF(C482&lt;&gt;"", values!$B$2, "")</f>
        <v/>
      </c>
      <c r="H482" s="33" t="str">
        <f aca="false">IF(C482&lt;&gt;"", F482*G482, "")</f>
        <v/>
      </c>
      <c r="I482" s="33" t="str">
        <f aca="false">IF(C482&lt;&gt;"", H482+E482, "")</f>
        <v/>
      </c>
      <c r="K482" s="33" t="str">
        <f aca="false">IF(C482&lt;&gt;"", L482-I482, "")</f>
        <v/>
      </c>
      <c r="L482" s="33" t="str">
        <f aca="false">IF(C482&lt;&gt;"", I482/(1-J482), "")</f>
        <v/>
      </c>
      <c r="M482" s="33" t="str">
        <f aca="false">IF(C482&lt;&gt;"", values!$A$2, "")</f>
        <v/>
      </c>
      <c r="N482" s="33" t="str">
        <f aca="false">IF(C482&lt;&gt;"", O482-L482, "")</f>
        <v/>
      </c>
      <c r="O482" s="33" t="str">
        <f aca="false">IF(C482&lt;&gt;"", L482/(1-M482), "")</f>
        <v/>
      </c>
    </row>
    <row r="483" customFormat="false" ht="12.8" hidden="false" customHeight="false" outlineLevel="0" collapsed="false">
      <c r="A483" s="1" t="s">
        <v>1920</v>
      </c>
      <c r="B483" s="31" t="s">
        <v>1921</v>
      </c>
      <c r="D483" s="32" t="str">
        <f aca="true">IF(C483&lt;&gt;"", SUM(INDEX(INDIRECT("'" &amp; B483 &amp; "'.$A$1:$Z$1000"), 0, MATCH("count", INDIRECT("'" &amp; B483 &amp; "'.$A$1:$Z$1"), 0))), "")</f>
        <v/>
      </c>
      <c r="E483" s="33" t="str">
        <f aca="true">IF(C483&lt;&gt;"", SUM(INDEX(INDIRECT("'" &amp; B483 &amp; "'.$A$1:$Z$1000"), 0, MATCH("cost", INDIRECT("'" &amp; B483 &amp; "'.$A$1:$Z$1"), 0))), "")</f>
        <v/>
      </c>
      <c r="F483" s="40" t="str">
        <f aca="true">IF(C483&lt;&gt;"", SUM(INDEX(INDIRECT("'" &amp; B483 &amp; "'.$A$1:$Z$1000"), 0, MATCH("total_assembly_time_min", INDIRECT("'" &amp; B483 &amp; "'.$A$1:$Z$1"), 0)))/60, "")</f>
        <v/>
      </c>
      <c r="G483" s="33" t="str">
        <f aca="false">IF(C483&lt;&gt;"", values!$B$2, "")</f>
        <v/>
      </c>
      <c r="H483" s="33" t="str">
        <f aca="false">IF(C483&lt;&gt;"", F483*G483, "")</f>
        <v/>
      </c>
      <c r="I483" s="33" t="str">
        <f aca="false">IF(C483&lt;&gt;"", H483+E483, "")</f>
        <v/>
      </c>
      <c r="K483" s="33" t="str">
        <f aca="false">IF(C483&lt;&gt;"", L483-I483, "")</f>
        <v/>
      </c>
      <c r="L483" s="33" t="str">
        <f aca="false">IF(C483&lt;&gt;"", I483/(1-J483), "")</f>
        <v/>
      </c>
      <c r="M483" s="33" t="str">
        <f aca="false">IF(C483&lt;&gt;"", values!$A$2, "")</f>
        <v/>
      </c>
      <c r="N483" s="33" t="str">
        <f aca="false">IF(C483&lt;&gt;"", O483-L483, "")</f>
        <v/>
      </c>
      <c r="O483" s="33" t="str">
        <f aca="false">IF(C483&lt;&gt;"", L483/(1-M483), "")</f>
        <v/>
      </c>
    </row>
    <row r="484" customFormat="false" ht="12.8" hidden="false" customHeight="false" outlineLevel="0" collapsed="false">
      <c r="A484" s="1" t="s">
        <v>1922</v>
      </c>
      <c r="B484" s="31" t="s">
        <v>1923</v>
      </c>
      <c r="D484" s="32" t="str">
        <f aca="true">IF(C484&lt;&gt;"", SUM(INDEX(INDIRECT("'" &amp; B484 &amp; "'.$A$1:$Z$1000"), 0, MATCH("count", INDIRECT("'" &amp; B484 &amp; "'.$A$1:$Z$1"), 0))), "")</f>
        <v/>
      </c>
      <c r="E484" s="33" t="str">
        <f aca="true">IF(C484&lt;&gt;"", SUM(INDEX(INDIRECT("'" &amp; B484 &amp; "'.$A$1:$Z$1000"), 0, MATCH("cost", INDIRECT("'" &amp; B484 &amp; "'.$A$1:$Z$1"), 0))), "")</f>
        <v/>
      </c>
      <c r="F484" s="40" t="str">
        <f aca="true">IF(C484&lt;&gt;"", SUM(INDEX(INDIRECT("'" &amp; B484 &amp; "'.$A$1:$Z$1000"), 0, MATCH("total_assembly_time_min", INDIRECT("'" &amp; B484 &amp; "'.$A$1:$Z$1"), 0)))/60, "")</f>
        <v/>
      </c>
      <c r="G484" s="33" t="str">
        <f aca="false">IF(C484&lt;&gt;"", values!$B$2, "")</f>
        <v/>
      </c>
      <c r="H484" s="33" t="str">
        <f aca="false">IF(C484&lt;&gt;"", F484*G484, "")</f>
        <v/>
      </c>
      <c r="I484" s="33" t="str">
        <f aca="false">IF(C484&lt;&gt;"", H484+E484, "")</f>
        <v/>
      </c>
      <c r="K484" s="33" t="str">
        <f aca="false">IF(C484&lt;&gt;"", L484-I484, "")</f>
        <v/>
      </c>
      <c r="L484" s="33" t="str">
        <f aca="false">IF(C484&lt;&gt;"", I484/(1-J484), "")</f>
        <v/>
      </c>
      <c r="M484" s="33" t="str">
        <f aca="false">IF(C484&lt;&gt;"", values!$A$2, "")</f>
        <v/>
      </c>
      <c r="N484" s="33" t="str">
        <f aca="false">IF(C484&lt;&gt;"", O484-L484, "")</f>
        <v/>
      </c>
      <c r="O484" s="33" t="str">
        <f aca="false">IF(C484&lt;&gt;"", L484/(1-M484), "")</f>
        <v/>
      </c>
    </row>
    <row r="485" customFormat="false" ht="12.8" hidden="false" customHeight="false" outlineLevel="0" collapsed="false">
      <c r="A485" s="1" t="s">
        <v>1924</v>
      </c>
      <c r="B485" s="31" t="s">
        <v>1925</v>
      </c>
      <c r="D485" s="32" t="str">
        <f aca="true">IF(C485&lt;&gt;"", SUM(INDEX(INDIRECT("'" &amp; B485 &amp; "'.$A$1:$Z$1000"), 0, MATCH("count", INDIRECT("'" &amp; B485 &amp; "'.$A$1:$Z$1"), 0))), "")</f>
        <v/>
      </c>
      <c r="E485" s="33" t="str">
        <f aca="true">IF(C485&lt;&gt;"", SUM(INDEX(INDIRECT("'" &amp; B485 &amp; "'.$A$1:$Z$1000"), 0, MATCH("cost", INDIRECT("'" &amp; B485 &amp; "'.$A$1:$Z$1"), 0))), "")</f>
        <v/>
      </c>
      <c r="F485" s="40" t="str">
        <f aca="true">IF(C485&lt;&gt;"", SUM(INDEX(INDIRECT("'" &amp; B485 &amp; "'.$A$1:$Z$1000"), 0, MATCH("total_assembly_time_min", INDIRECT("'" &amp; B485 &amp; "'.$A$1:$Z$1"), 0)))/60, "")</f>
        <v/>
      </c>
      <c r="G485" s="33" t="str">
        <f aca="false">IF(C485&lt;&gt;"", values!$B$2, "")</f>
        <v/>
      </c>
      <c r="H485" s="33" t="str">
        <f aca="false">IF(C485&lt;&gt;"", F485*G485, "")</f>
        <v/>
      </c>
      <c r="I485" s="33" t="str">
        <f aca="false">IF(C485&lt;&gt;"", H485+E485, "")</f>
        <v/>
      </c>
      <c r="K485" s="33" t="str">
        <f aca="false">IF(C485&lt;&gt;"", L485-I485, "")</f>
        <v/>
      </c>
      <c r="L485" s="33" t="str">
        <f aca="false">IF(C485&lt;&gt;"", I485/(1-J485), "")</f>
        <v/>
      </c>
      <c r="M485" s="33" t="str">
        <f aca="false">IF(C485&lt;&gt;"", values!$A$2, "")</f>
        <v/>
      </c>
      <c r="N485" s="33" t="str">
        <f aca="false">IF(C485&lt;&gt;"", O485-L485, "")</f>
        <v/>
      </c>
      <c r="O485" s="33" t="str">
        <f aca="false">IF(C485&lt;&gt;"", L485/(1-M485), "")</f>
        <v/>
      </c>
    </row>
    <row r="486" customFormat="false" ht="12.8" hidden="false" customHeight="false" outlineLevel="0" collapsed="false">
      <c r="A486" s="1" t="s">
        <v>1926</v>
      </c>
      <c r="B486" s="31" t="s">
        <v>1927</v>
      </c>
      <c r="D486" s="32" t="str">
        <f aca="true">IF(C486&lt;&gt;"", SUM(INDEX(INDIRECT("'" &amp; B486 &amp; "'.$A$1:$Z$1000"), 0, MATCH("count", INDIRECT("'" &amp; B486 &amp; "'.$A$1:$Z$1"), 0))), "")</f>
        <v/>
      </c>
      <c r="E486" s="33" t="str">
        <f aca="true">IF(C486&lt;&gt;"", SUM(INDEX(INDIRECT("'" &amp; B486 &amp; "'.$A$1:$Z$1000"), 0, MATCH("cost", INDIRECT("'" &amp; B486 &amp; "'.$A$1:$Z$1"), 0))), "")</f>
        <v/>
      </c>
      <c r="F486" s="40" t="str">
        <f aca="true">IF(C486&lt;&gt;"", SUM(INDEX(INDIRECT("'" &amp; B486 &amp; "'.$A$1:$Z$1000"), 0, MATCH("total_assembly_time_min", INDIRECT("'" &amp; B486 &amp; "'.$A$1:$Z$1"), 0)))/60, "")</f>
        <v/>
      </c>
      <c r="G486" s="33" t="str">
        <f aca="false">IF(C486&lt;&gt;"", values!$B$2, "")</f>
        <v/>
      </c>
      <c r="H486" s="33" t="str">
        <f aca="false">IF(C486&lt;&gt;"", F486*G486, "")</f>
        <v/>
      </c>
      <c r="I486" s="33" t="str">
        <f aca="false">IF(C486&lt;&gt;"", H486+E486, "")</f>
        <v/>
      </c>
      <c r="K486" s="33" t="str">
        <f aca="false">IF(C486&lt;&gt;"", L486-I486, "")</f>
        <v/>
      </c>
      <c r="L486" s="33" t="str">
        <f aca="false">IF(C486&lt;&gt;"", I486/(1-J486), "")</f>
        <v/>
      </c>
      <c r="M486" s="33" t="str">
        <f aca="false">IF(C486&lt;&gt;"", values!$A$2, "")</f>
        <v/>
      </c>
      <c r="N486" s="33" t="str">
        <f aca="false">IF(C486&lt;&gt;"", O486-L486, "")</f>
        <v/>
      </c>
      <c r="O486" s="33" t="str">
        <f aca="false">IF(C486&lt;&gt;"", L486/(1-M486), "")</f>
        <v/>
      </c>
    </row>
    <row r="487" customFormat="false" ht="12.8" hidden="false" customHeight="false" outlineLevel="0" collapsed="false">
      <c r="A487" s="1" t="s">
        <v>1928</v>
      </c>
      <c r="B487" s="31" t="s">
        <v>1929</v>
      </c>
      <c r="D487" s="32" t="str">
        <f aca="true">IF(C487&lt;&gt;"", SUM(INDEX(INDIRECT("'" &amp; B487 &amp; "'.$A$1:$Z$1000"), 0, MATCH("count", INDIRECT("'" &amp; B487 &amp; "'.$A$1:$Z$1"), 0))), "")</f>
        <v/>
      </c>
      <c r="E487" s="33" t="str">
        <f aca="true">IF(C487&lt;&gt;"", SUM(INDEX(INDIRECT("'" &amp; B487 &amp; "'.$A$1:$Z$1000"), 0, MATCH("cost", INDIRECT("'" &amp; B487 &amp; "'.$A$1:$Z$1"), 0))), "")</f>
        <v/>
      </c>
      <c r="F487" s="40" t="str">
        <f aca="true">IF(C487&lt;&gt;"", SUM(INDEX(INDIRECT("'" &amp; B487 &amp; "'.$A$1:$Z$1000"), 0, MATCH("total_assembly_time_min", INDIRECT("'" &amp; B487 &amp; "'.$A$1:$Z$1"), 0)))/60, "")</f>
        <v/>
      </c>
      <c r="G487" s="33" t="str">
        <f aca="false">IF(C487&lt;&gt;"", values!$B$2, "")</f>
        <v/>
      </c>
      <c r="H487" s="33" t="str">
        <f aca="false">IF(C487&lt;&gt;"", F487*G487, "")</f>
        <v/>
      </c>
      <c r="I487" s="33" t="str">
        <f aca="false">IF(C487&lt;&gt;"", H487+E487, "")</f>
        <v/>
      </c>
      <c r="K487" s="33" t="str">
        <f aca="false">IF(C487&lt;&gt;"", L487-I487, "")</f>
        <v/>
      </c>
      <c r="L487" s="33" t="str">
        <f aca="false">IF(C487&lt;&gt;"", I487/(1-J487), "")</f>
        <v/>
      </c>
      <c r="M487" s="33" t="str">
        <f aca="false">IF(C487&lt;&gt;"", values!$A$2, "")</f>
        <v/>
      </c>
      <c r="N487" s="33" t="str">
        <f aca="false">IF(C487&lt;&gt;"", O487-L487, "")</f>
        <v/>
      </c>
      <c r="O487" s="33" t="str">
        <f aca="false">IF(C487&lt;&gt;"", L487/(1-M487), "")</f>
        <v/>
      </c>
    </row>
    <row r="488" customFormat="false" ht="12.8" hidden="false" customHeight="false" outlineLevel="0" collapsed="false">
      <c r="A488" s="1" t="s">
        <v>1930</v>
      </c>
      <c r="B488" s="31" t="s">
        <v>1931</v>
      </c>
      <c r="D488" s="32" t="str">
        <f aca="true">IF(C488&lt;&gt;"", SUM(INDEX(INDIRECT("'" &amp; B488 &amp; "'.$A$1:$Z$1000"), 0, MATCH("count", INDIRECT("'" &amp; B488 &amp; "'.$A$1:$Z$1"), 0))), "")</f>
        <v/>
      </c>
      <c r="E488" s="33" t="str">
        <f aca="true">IF(C488&lt;&gt;"", SUM(INDEX(INDIRECT("'" &amp; B488 &amp; "'.$A$1:$Z$1000"), 0, MATCH("cost", INDIRECT("'" &amp; B488 &amp; "'.$A$1:$Z$1"), 0))), "")</f>
        <v/>
      </c>
      <c r="F488" s="40" t="str">
        <f aca="true">IF(C488&lt;&gt;"", SUM(INDEX(INDIRECT("'" &amp; B488 &amp; "'.$A$1:$Z$1000"), 0, MATCH("total_assembly_time_min", INDIRECT("'" &amp; B488 &amp; "'.$A$1:$Z$1"), 0)))/60, "")</f>
        <v/>
      </c>
      <c r="G488" s="33" t="str">
        <f aca="false">IF(C488&lt;&gt;"", values!$B$2, "")</f>
        <v/>
      </c>
      <c r="H488" s="33" t="str">
        <f aca="false">IF(C488&lt;&gt;"", F488*G488, "")</f>
        <v/>
      </c>
      <c r="I488" s="33" t="str">
        <f aca="false">IF(C488&lt;&gt;"", H488+E488, "")</f>
        <v/>
      </c>
      <c r="K488" s="33" t="str">
        <f aca="false">IF(C488&lt;&gt;"", L488-I488, "")</f>
        <v/>
      </c>
      <c r="L488" s="33" t="str">
        <f aca="false">IF(C488&lt;&gt;"", I488/(1-J488), "")</f>
        <v/>
      </c>
      <c r="M488" s="33" t="str">
        <f aca="false">IF(C488&lt;&gt;"", values!$A$2, "")</f>
        <v/>
      </c>
      <c r="N488" s="33" t="str">
        <f aca="false">IF(C488&lt;&gt;"", O488-L488, "")</f>
        <v/>
      </c>
      <c r="O488" s="33" t="str">
        <f aca="false">IF(C488&lt;&gt;"", L488/(1-M488), "")</f>
        <v/>
      </c>
    </row>
    <row r="489" customFormat="false" ht="12.8" hidden="false" customHeight="false" outlineLevel="0" collapsed="false">
      <c r="A489" s="1" t="s">
        <v>1932</v>
      </c>
      <c r="B489" s="31" t="s">
        <v>1933</v>
      </c>
      <c r="D489" s="32" t="str">
        <f aca="true">IF(C489&lt;&gt;"", SUM(INDEX(INDIRECT("'" &amp; B489 &amp; "'.$A$1:$Z$1000"), 0, MATCH("count", INDIRECT("'" &amp; B489 &amp; "'.$A$1:$Z$1"), 0))), "")</f>
        <v/>
      </c>
      <c r="E489" s="33" t="str">
        <f aca="true">IF(C489&lt;&gt;"", SUM(INDEX(INDIRECT("'" &amp; B489 &amp; "'.$A$1:$Z$1000"), 0, MATCH("cost", INDIRECT("'" &amp; B489 &amp; "'.$A$1:$Z$1"), 0))), "")</f>
        <v/>
      </c>
      <c r="F489" s="40" t="str">
        <f aca="true">IF(C489&lt;&gt;"", SUM(INDEX(INDIRECT("'" &amp; B489 &amp; "'.$A$1:$Z$1000"), 0, MATCH("total_assembly_time_min", INDIRECT("'" &amp; B489 &amp; "'.$A$1:$Z$1"), 0)))/60, "")</f>
        <v/>
      </c>
      <c r="G489" s="33" t="str">
        <f aca="false">IF(C489&lt;&gt;"", values!$B$2, "")</f>
        <v/>
      </c>
      <c r="H489" s="33" t="str">
        <f aca="false">IF(C489&lt;&gt;"", F489*G489, "")</f>
        <v/>
      </c>
      <c r="I489" s="33" t="str">
        <f aca="false">IF(C489&lt;&gt;"", H489+E489, "")</f>
        <v/>
      </c>
      <c r="K489" s="33" t="str">
        <f aca="false">IF(C489&lt;&gt;"", L489-I489, "")</f>
        <v/>
      </c>
      <c r="L489" s="33" t="str">
        <f aca="false">IF(C489&lt;&gt;"", I489/(1-J489), "")</f>
        <v/>
      </c>
      <c r="M489" s="33" t="str">
        <f aca="false">IF(C489&lt;&gt;"", values!$A$2, "")</f>
        <v/>
      </c>
      <c r="N489" s="33" t="str">
        <f aca="false">IF(C489&lt;&gt;"", O489-L489, "")</f>
        <v/>
      </c>
      <c r="O489" s="33" t="str">
        <f aca="false">IF(C489&lt;&gt;"", L489/(1-M489), "")</f>
        <v/>
      </c>
    </row>
    <row r="490" customFormat="false" ht="12.8" hidden="false" customHeight="false" outlineLevel="0" collapsed="false">
      <c r="A490" s="1" t="s">
        <v>1934</v>
      </c>
      <c r="B490" s="31" t="s">
        <v>1935</v>
      </c>
      <c r="D490" s="32" t="str">
        <f aca="true">IF(C490&lt;&gt;"", SUM(INDEX(INDIRECT("'" &amp; B490 &amp; "'.$A$1:$Z$1000"), 0, MATCH("count", INDIRECT("'" &amp; B490 &amp; "'.$A$1:$Z$1"), 0))), "")</f>
        <v/>
      </c>
      <c r="E490" s="33" t="str">
        <f aca="true">IF(C490&lt;&gt;"", SUM(INDEX(INDIRECT("'" &amp; B490 &amp; "'.$A$1:$Z$1000"), 0, MATCH("cost", INDIRECT("'" &amp; B490 &amp; "'.$A$1:$Z$1"), 0))), "")</f>
        <v/>
      </c>
      <c r="F490" s="40" t="str">
        <f aca="true">IF(C490&lt;&gt;"", SUM(INDEX(INDIRECT("'" &amp; B490 &amp; "'.$A$1:$Z$1000"), 0, MATCH("total_assembly_time_min", INDIRECT("'" &amp; B490 &amp; "'.$A$1:$Z$1"), 0)))/60, "")</f>
        <v/>
      </c>
      <c r="G490" s="33" t="str">
        <f aca="false">IF(C490&lt;&gt;"", values!$B$2, "")</f>
        <v/>
      </c>
      <c r="H490" s="33" t="str">
        <f aca="false">IF(C490&lt;&gt;"", F490*G490, "")</f>
        <v/>
      </c>
      <c r="I490" s="33" t="str">
        <f aca="false">IF(C490&lt;&gt;"", H490+E490, "")</f>
        <v/>
      </c>
      <c r="K490" s="33" t="str">
        <f aca="false">IF(C490&lt;&gt;"", L490-I490, "")</f>
        <v/>
      </c>
      <c r="L490" s="33" t="str">
        <f aca="false">IF(C490&lt;&gt;"", I490/(1-J490), "")</f>
        <v/>
      </c>
      <c r="M490" s="33" t="str">
        <f aca="false">IF(C490&lt;&gt;"", values!$A$2, "")</f>
        <v/>
      </c>
      <c r="N490" s="33" t="str">
        <f aca="false">IF(C490&lt;&gt;"", O490-L490, "")</f>
        <v/>
      </c>
      <c r="O490" s="33" t="str">
        <f aca="false">IF(C490&lt;&gt;"", L490/(1-M490), "")</f>
        <v/>
      </c>
    </row>
    <row r="491" customFormat="false" ht="12.8" hidden="false" customHeight="false" outlineLevel="0" collapsed="false">
      <c r="A491" s="1" t="s">
        <v>1936</v>
      </c>
      <c r="B491" s="31" t="s">
        <v>1937</v>
      </c>
      <c r="D491" s="32" t="str">
        <f aca="true">IF(C491&lt;&gt;"", SUM(INDEX(INDIRECT("'" &amp; B491 &amp; "'.$A$1:$Z$1000"), 0, MATCH("count", INDIRECT("'" &amp; B491 &amp; "'.$A$1:$Z$1"), 0))), "")</f>
        <v/>
      </c>
      <c r="E491" s="33" t="str">
        <f aca="true">IF(C491&lt;&gt;"", SUM(INDEX(INDIRECT("'" &amp; B491 &amp; "'.$A$1:$Z$1000"), 0, MATCH("cost", INDIRECT("'" &amp; B491 &amp; "'.$A$1:$Z$1"), 0))), "")</f>
        <v/>
      </c>
      <c r="F491" s="40" t="str">
        <f aca="true">IF(C491&lt;&gt;"", SUM(INDEX(INDIRECT("'" &amp; B491 &amp; "'.$A$1:$Z$1000"), 0, MATCH("total_assembly_time_min", INDIRECT("'" &amp; B491 &amp; "'.$A$1:$Z$1"), 0)))/60, "")</f>
        <v/>
      </c>
      <c r="G491" s="33" t="str">
        <f aca="false">IF(C491&lt;&gt;"", values!$B$2, "")</f>
        <v/>
      </c>
      <c r="H491" s="33" t="str">
        <f aca="false">IF(C491&lt;&gt;"", F491*G491, "")</f>
        <v/>
      </c>
      <c r="I491" s="33" t="str">
        <f aca="false">IF(C491&lt;&gt;"", H491+E491, "")</f>
        <v/>
      </c>
      <c r="K491" s="33" t="str">
        <f aca="false">IF(C491&lt;&gt;"", L491-I491, "")</f>
        <v/>
      </c>
      <c r="L491" s="33" t="str">
        <f aca="false">IF(C491&lt;&gt;"", I491/(1-J491), "")</f>
        <v/>
      </c>
      <c r="M491" s="33" t="str">
        <f aca="false">IF(C491&lt;&gt;"", values!$A$2, "")</f>
        <v/>
      </c>
      <c r="N491" s="33" t="str">
        <f aca="false">IF(C491&lt;&gt;"", O491-L491, "")</f>
        <v/>
      </c>
      <c r="O491" s="33" t="str">
        <f aca="false">IF(C491&lt;&gt;"", L491/(1-M491), "")</f>
        <v/>
      </c>
    </row>
    <row r="492" customFormat="false" ht="12.8" hidden="false" customHeight="false" outlineLevel="0" collapsed="false">
      <c r="A492" s="1" t="s">
        <v>1938</v>
      </c>
      <c r="B492" s="31" t="s">
        <v>1939</v>
      </c>
      <c r="D492" s="32" t="str">
        <f aca="true">IF(C492&lt;&gt;"", SUM(INDEX(INDIRECT("'" &amp; B492 &amp; "'.$A$1:$Z$1000"), 0, MATCH("count", INDIRECT("'" &amp; B492 &amp; "'.$A$1:$Z$1"), 0))), "")</f>
        <v/>
      </c>
      <c r="E492" s="33" t="str">
        <f aca="true">IF(C492&lt;&gt;"", SUM(INDEX(INDIRECT("'" &amp; B492 &amp; "'.$A$1:$Z$1000"), 0, MATCH("cost", INDIRECT("'" &amp; B492 &amp; "'.$A$1:$Z$1"), 0))), "")</f>
        <v/>
      </c>
      <c r="F492" s="40" t="str">
        <f aca="true">IF(C492&lt;&gt;"", SUM(INDEX(INDIRECT("'" &amp; B492 &amp; "'.$A$1:$Z$1000"), 0, MATCH("total_assembly_time_min", INDIRECT("'" &amp; B492 &amp; "'.$A$1:$Z$1"), 0)))/60, "")</f>
        <v/>
      </c>
      <c r="G492" s="33" t="str">
        <f aca="false">IF(C492&lt;&gt;"", values!$B$2, "")</f>
        <v/>
      </c>
      <c r="H492" s="33" t="str">
        <f aca="false">IF(C492&lt;&gt;"", F492*G492, "")</f>
        <v/>
      </c>
      <c r="I492" s="33" t="str">
        <f aca="false">IF(C492&lt;&gt;"", H492+E492, "")</f>
        <v/>
      </c>
      <c r="K492" s="33" t="str">
        <f aca="false">IF(C492&lt;&gt;"", L492-I492, "")</f>
        <v/>
      </c>
      <c r="L492" s="33" t="str">
        <f aca="false">IF(C492&lt;&gt;"", I492/(1-J492), "")</f>
        <v/>
      </c>
      <c r="M492" s="33" t="str">
        <f aca="false">IF(C492&lt;&gt;"", values!$A$2, "")</f>
        <v/>
      </c>
      <c r="N492" s="33" t="str">
        <f aca="false">IF(C492&lt;&gt;"", O492-L492, "")</f>
        <v/>
      </c>
      <c r="O492" s="33" t="str">
        <f aca="false">IF(C492&lt;&gt;"", L492/(1-M492), "")</f>
        <v/>
      </c>
    </row>
    <row r="493" customFormat="false" ht="12.8" hidden="false" customHeight="false" outlineLevel="0" collapsed="false">
      <c r="A493" s="1" t="s">
        <v>1940</v>
      </c>
      <c r="B493" s="31" t="s">
        <v>1941</v>
      </c>
      <c r="D493" s="32" t="str">
        <f aca="true">IF(C493&lt;&gt;"", SUM(INDEX(INDIRECT("'" &amp; B493 &amp; "'.$A$1:$Z$1000"), 0, MATCH("count", INDIRECT("'" &amp; B493 &amp; "'.$A$1:$Z$1"), 0))), "")</f>
        <v/>
      </c>
      <c r="E493" s="33" t="str">
        <f aca="true">IF(C493&lt;&gt;"", SUM(INDEX(INDIRECT("'" &amp; B493 &amp; "'.$A$1:$Z$1000"), 0, MATCH("cost", INDIRECT("'" &amp; B493 &amp; "'.$A$1:$Z$1"), 0))), "")</f>
        <v/>
      </c>
      <c r="F493" s="40" t="str">
        <f aca="true">IF(C493&lt;&gt;"", SUM(INDEX(INDIRECT("'" &amp; B493 &amp; "'.$A$1:$Z$1000"), 0, MATCH("total_assembly_time_min", INDIRECT("'" &amp; B493 &amp; "'.$A$1:$Z$1"), 0)))/60, "")</f>
        <v/>
      </c>
      <c r="G493" s="33" t="str">
        <f aca="false">IF(C493&lt;&gt;"", values!$B$2, "")</f>
        <v/>
      </c>
      <c r="H493" s="33" t="str">
        <f aca="false">IF(C493&lt;&gt;"", F493*G493, "")</f>
        <v/>
      </c>
      <c r="I493" s="33" t="str">
        <f aca="false">IF(C493&lt;&gt;"", H493+E493, "")</f>
        <v/>
      </c>
      <c r="K493" s="33" t="str">
        <f aca="false">IF(C493&lt;&gt;"", L493-I493, "")</f>
        <v/>
      </c>
      <c r="L493" s="33" t="str">
        <f aca="false">IF(C493&lt;&gt;"", I493/(1-J493), "")</f>
        <v/>
      </c>
      <c r="M493" s="33" t="str">
        <f aca="false">IF(C493&lt;&gt;"", values!$A$2, "")</f>
        <v/>
      </c>
      <c r="N493" s="33" t="str">
        <f aca="false">IF(C493&lt;&gt;"", O493-L493, "")</f>
        <v/>
      </c>
      <c r="O493" s="33" t="str">
        <f aca="false">IF(C493&lt;&gt;"", L493/(1-M493), "")</f>
        <v/>
      </c>
    </row>
    <row r="494" customFormat="false" ht="12.8" hidden="false" customHeight="false" outlineLevel="0" collapsed="false">
      <c r="A494" s="1" t="s">
        <v>1942</v>
      </c>
      <c r="B494" s="31" t="s">
        <v>1943</v>
      </c>
      <c r="D494" s="32" t="str">
        <f aca="true">IF(C494&lt;&gt;"", SUM(INDEX(INDIRECT("'" &amp; B494 &amp; "'.$A$1:$Z$1000"), 0, MATCH("count", INDIRECT("'" &amp; B494 &amp; "'.$A$1:$Z$1"), 0))), "")</f>
        <v/>
      </c>
      <c r="E494" s="33" t="str">
        <f aca="true">IF(C494&lt;&gt;"", SUM(INDEX(INDIRECT("'" &amp; B494 &amp; "'.$A$1:$Z$1000"), 0, MATCH("cost", INDIRECT("'" &amp; B494 &amp; "'.$A$1:$Z$1"), 0))), "")</f>
        <v/>
      </c>
      <c r="F494" s="40" t="str">
        <f aca="true">IF(C494&lt;&gt;"", SUM(INDEX(INDIRECT("'" &amp; B494 &amp; "'.$A$1:$Z$1000"), 0, MATCH("total_assembly_time_min", INDIRECT("'" &amp; B494 &amp; "'.$A$1:$Z$1"), 0)))/60, "")</f>
        <v/>
      </c>
      <c r="G494" s="33" t="str">
        <f aca="false">IF(C494&lt;&gt;"", values!$B$2, "")</f>
        <v/>
      </c>
      <c r="H494" s="33" t="str">
        <f aca="false">IF(C494&lt;&gt;"", F494*G494, "")</f>
        <v/>
      </c>
      <c r="I494" s="33" t="str">
        <f aca="false">IF(C494&lt;&gt;"", H494+E494, "")</f>
        <v/>
      </c>
      <c r="K494" s="33" t="str">
        <f aca="false">IF(C494&lt;&gt;"", L494-I494, "")</f>
        <v/>
      </c>
      <c r="L494" s="33" t="str">
        <f aca="false">IF(C494&lt;&gt;"", I494/(1-J494), "")</f>
        <v/>
      </c>
      <c r="M494" s="33" t="str">
        <f aca="false">IF(C494&lt;&gt;"", values!$A$2, "")</f>
        <v/>
      </c>
      <c r="N494" s="33" t="str">
        <f aca="false">IF(C494&lt;&gt;"", O494-L494, "")</f>
        <v/>
      </c>
      <c r="O494" s="33" t="str">
        <f aca="false">IF(C494&lt;&gt;"", L494/(1-M494), "")</f>
        <v/>
      </c>
    </row>
    <row r="495" customFormat="false" ht="12.8" hidden="false" customHeight="false" outlineLevel="0" collapsed="false">
      <c r="A495" s="1" t="s">
        <v>1944</v>
      </c>
      <c r="B495" s="31" t="s">
        <v>1945</v>
      </c>
      <c r="D495" s="32" t="str">
        <f aca="true">IF(C495&lt;&gt;"", SUM(INDEX(INDIRECT("'" &amp; B495 &amp; "'.$A$1:$Z$1000"), 0, MATCH("count", INDIRECT("'" &amp; B495 &amp; "'.$A$1:$Z$1"), 0))), "")</f>
        <v/>
      </c>
      <c r="E495" s="33" t="str">
        <f aca="true">IF(C495&lt;&gt;"", SUM(INDEX(INDIRECT("'" &amp; B495 &amp; "'.$A$1:$Z$1000"), 0, MATCH("cost", INDIRECT("'" &amp; B495 &amp; "'.$A$1:$Z$1"), 0))), "")</f>
        <v/>
      </c>
      <c r="F495" s="40" t="str">
        <f aca="true">IF(C495&lt;&gt;"", SUM(INDEX(INDIRECT("'" &amp; B495 &amp; "'.$A$1:$Z$1000"), 0, MATCH("total_assembly_time_min", INDIRECT("'" &amp; B495 &amp; "'.$A$1:$Z$1"), 0)))/60, "")</f>
        <v/>
      </c>
      <c r="G495" s="33" t="str">
        <f aca="false">IF(C495&lt;&gt;"", values!$B$2, "")</f>
        <v/>
      </c>
      <c r="H495" s="33" t="str">
        <f aca="false">IF(C495&lt;&gt;"", F495*G495, "")</f>
        <v/>
      </c>
      <c r="I495" s="33" t="str">
        <f aca="false">IF(C495&lt;&gt;"", H495+E495, "")</f>
        <v/>
      </c>
      <c r="K495" s="33" t="str">
        <f aca="false">IF(C495&lt;&gt;"", L495-I495, "")</f>
        <v/>
      </c>
      <c r="L495" s="33" t="str">
        <f aca="false">IF(C495&lt;&gt;"", I495/(1-J495), "")</f>
        <v/>
      </c>
      <c r="M495" s="33" t="str">
        <f aca="false">IF(C495&lt;&gt;"", values!$A$2, "")</f>
        <v/>
      </c>
      <c r="N495" s="33" t="str">
        <f aca="false">IF(C495&lt;&gt;"", O495-L495, "")</f>
        <v/>
      </c>
      <c r="O495" s="33" t="str">
        <f aca="false">IF(C495&lt;&gt;"", L495/(1-M495), "")</f>
        <v/>
      </c>
    </row>
    <row r="496" customFormat="false" ht="12.8" hidden="false" customHeight="false" outlineLevel="0" collapsed="false">
      <c r="A496" s="1" t="s">
        <v>1946</v>
      </c>
      <c r="B496" s="31" t="s">
        <v>1947</v>
      </c>
      <c r="D496" s="32" t="str">
        <f aca="true">IF(C496&lt;&gt;"", SUM(INDEX(INDIRECT("'" &amp; B496 &amp; "'.$A$1:$Z$1000"), 0, MATCH("count", INDIRECT("'" &amp; B496 &amp; "'.$A$1:$Z$1"), 0))), "")</f>
        <v/>
      </c>
      <c r="E496" s="33" t="str">
        <f aca="true">IF(C496&lt;&gt;"", SUM(INDEX(INDIRECT("'" &amp; B496 &amp; "'.$A$1:$Z$1000"), 0, MATCH("cost", INDIRECT("'" &amp; B496 &amp; "'.$A$1:$Z$1"), 0))), "")</f>
        <v/>
      </c>
      <c r="F496" s="40" t="str">
        <f aca="true">IF(C496&lt;&gt;"", SUM(INDEX(INDIRECT("'" &amp; B496 &amp; "'.$A$1:$Z$1000"), 0, MATCH("total_assembly_time_min", INDIRECT("'" &amp; B496 &amp; "'.$A$1:$Z$1"), 0)))/60, "")</f>
        <v/>
      </c>
      <c r="G496" s="33" t="str">
        <f aca="false">IF(C496&lt;&gt;"", values!$B$2, "")</f>
        <v/>
      </c>
      <c r="H496" s="33" t="str">
        <f aca="false">IF(C496&lt;&gt;"", F496*G496, "")</f>
        <v/>
      </c>
      <c r="I496" s="33" t="str">
        <f aca="false">IF(C496&lt;&gt;"", H496+E496, "")</f>
        <v/>
      </c>
      <c r="K496" s="33" t="str">
        <f aca="false">IF(C496&lt;&gt;"", L496-I496, "")</f>
        <v/>
      </c>
      <c r="L496" s="33" t="str">
        <f aca="false">IF(C496&lt;&gt;"", I496/(1-J496), "")</f>
        <v/>
      </c>
      <c r="M496" s="33" t="str">
        <f aca="false">IF(C496&lt;&gt;"", values!$A$2, "")</f>
        <v/>
      </c>
      <c r="N496" s="33" t="str">
        <f aca="false">IF(C496&lt;&gt;"", O496-L496, "")</f>
        <v/>
      </c>
      <c r="O496" s="33" t="str">
        <f aca="false">IF(C496&lt;&gt;"", L496/(1-M496), "")</f>
        <v/>
      </c>
    </row>
    <row r="497" customFormat="false" ht="12.8" hidden="false" customHeight="false" outlineLevel="0" collapsed="false">
      <c r="A497" s="1" t="s">
        <v>1948</v>
      </c>
      <c r="B497" s="31" t="s">
        <v>1949</v>
      </c>
      <c r="D497" s="32" t="str">
        <f aca="true">IF(C497&lt;&gt;"", SUM(INDEX(INDIRECT("'" &amp; B497 &amp; "'.$A$1:$Z$1000"), 0, MATCH("count", INDIRECT("'" &amp; B497 &amp; "'.$A$1:$Z$1"), 0))), "")</f>
        <v/>
      </c>
      <c r="E497" s="33" t="str">
        <f aca="true">IF(C497&lt;&gt;"", SUM(INDEX(INDIRECT("'" &amp; B497 &amp; "'.$A$1:$Z$1000"), 0, MATCH("cost", INDIRECT("'" &amp; B497 &amp; "'.$A$1:$Z$1"), 0))), "")</f>
        <v/>
      </c>
      <c r="F497" s="40" t="str">
        <f aca="true">IF(C497&lt;&gt;"", SUM(INDEX(INDIRECT("'" &amp; B497 &amp; "'.$A$1:$Z$1000"), 0, MATCH("total_assembly_time_min", INDIRECT("'" &amp; B497 &amp; "'.$A$1:$Z$1"), 0)))/60, "")</f>
        <v/>
      </c>
      <c r="G497" s="33" t="str">
        <f aca="false">IF(C497&lt;&gt;"", values!$B$2, "")</f>
        <v/>
      </c>
      <c r="H497" s="33" t="str">
        <f aca="false">IF(C497&lt;&gt;"", F497*G497, "")</f>
        <v/>
      </c>
      <c r="I497" s="33" t="str">
        <f aca="false">IF(C497&lt;&gt;"", H497+E497, "")</f>
        <v/>
      </c>
      <c r="K497" s="33" t="str">
        <f aca="false">IF(C497&lt;&gt;"", L497-I497, "")</f>
        <v/>
      </c>
      <c r="L497" s="33" t="str">
        <f aca="false">IF(C497&lt;&gt;"", I497/(1-J497), "")</f>
        <v/>
      </c>
      <c r="M497" s="33" t="str">
        <f aca="false">IF(C497&lt;&gt;"", values!$A$2, "")</f>
        <v/>
      </c>
      <c r="N497" s="33" t="str">
        <f aca="false">IF(C497&lt;&gt;"", O497-L497, "")</f>
        <v/>
      </c>
      <c r="O497" s="33" t="str">
        <f aca="false">IF(C497&lt;&gt;"", L497/(1-M497), "")</f>
        <v/>
      </c>
    </row>
    <row r="498" customFormat="false" ht="12.8" hidden="false" customHeight="false" outlineLevel="0" collapsed="false">
      <c r="A498" s="1" t="s">
        <v>1950</v>
      </c>
      <c r="B498" s="31" t="s">
        <v>1951</v>
      </c>
      <c r="D498" s="32" t="str">
        <f aca="true">IF(C498&lt;&gt;"", SUM(INDEX(INDIRECT("'" &amp; B498 &amp; "'.$A$1:$Z$1000"), 0, MATCH("count", INDIRECT("'" &amp; B498 &amp; "'.$A$1:$Z$1"), 0))), "")</f>
        <v/>
      </c>
      <c r="E498" s="33" t="str">
        <f aca="true">IF(C498&lt;&gt;"", SUM(INDEX(INDIRECT("'" &amp; B498 &amp; "'.$A$1:$Z$1000"), 0, MATCH("cost", INDIRECT("'" &amp; B498 &amp; "'.$A$1:$Z$1"), 0))), "")</f>
        <v/>
      </c>
      <c r="F498" s="40" t="str">
        <f aca="true">IF(C498&lt;&gt;"", SUM(INDEX(INDIRECT("'" &amp; B498 &amp; "'.$A$1:$Z$1000"), 0, MATCH("total_assembly_time_min", INDIRECT("'" &amp; B498 &amp; "'.$A$1:$Z$1"), 0)))/60, "")</f>
        <v/>
      </c>
      <c r="G498" s="33" t="str">
        <f aca="false">IF(C498&lt;&gt;"", values!$B$2, "")</f>
        <v/>
      </c>
      <c r="H498" s="33" t="str">
        <f aca="false">IF(C498&lt;&gt;"", F498*G498, "")</f>
        <v/>
      </c>
      <c r="I498" s="33" t="str">
        <f aca="false">IF(C498&lt;&gt;"", H498+E498, "")</f>
        <v/>
      </c>
      <c r="K498" s="33" t="str">
        <f aca="false">IF(C498&lt;&gt;"", L498-I498, "")</f>
        <v/>
      </c>
      <c r="L498" s="33" t="str">
        <f aca="false">IF(C498&lt;&gt;"", I498/(1-J498), "")</f>
        <v/>
      </c>
      <c r="M498" s="33" t="str">
        <f aca="false">IF(C498&lt;&gt;"", values!$A$2, "")</f>
        <v/>
      </c>
      <c r="N498" s="33" t="str">
        <f aca="false">IF(C498&lt;&gt;"", O498-L498, "")</f>
        <v/>
      </c>
      <c r="O498" s="33" t="str">
        <f aca="false">IF(C498&lt;&gt;"", L498/(1-M498), "")</f>
        <v/>
      </c>
    </row>
    <row r="499" customFormat="false" ht="12.8" hidden="false" customHeight="false" outlineLevel="0" collapsed="false">
      <c r="A499" s="1" t="s">
        <v>1952</v>
      </c>
      <c r="B499" s="31" t="s">
        <v>1953</v>
      </c>
      <c r="D499" s="32" t="str">
        <f aca="true">IF(C499&lt;&gt;"", SUM(INDEX(INDIRECT("'" &amp; B499 &amp; "'.$A$1:$Z$1000"), 0, MATCH("count", INDIRECT("'" &amp; B499 &amp; "'.$A$1:$Z$1"), 0))), "")</f>
        <v/>
      </c>
      <c r="E499" s="33" t="str">
        <f aca="true">IF(C499&lt;&gt;"", SUM(INDEX(INDIRECT("'" &amp; B499 &amp; "'.$A$1:$Z$1000"), 0, MATCH("cost", INDIRECT("'" &amp; B499 &amp; "'.$A$1:$Z$1"), 0))), "")</f>
        <v/>
      </c>
      <c r="F499" s="40" t="str">
        <f aca="true">IF(C499&lt;&gt;"", SUM(INDEX(INDIRECT("'" &amp; B499 &amp; "'.$A$1:$Z$1000"), 0, MATCH("total_assembly_time_min", INDIRECT("'" &amp; B499 &amp; "'.$A$1:$Z$1"), 0)))/60, "")</f>
        <v/>
      </c>
      <c r="G499" s="33" t="str">
        <f aca="false">IF(C499&lt;&gt;"", values!$B$2, "")</f>
        <v/>
      </c>
      <c r="H499" s="33" t="str">
        <f aca="false">IF(C499&lt;&gt;"", F499*G499, "")</f>
        <v/>
      </c>
      <c r="I499" s="33" t="str">
        <f aca="false">IF(C499&lt;&gt;"", H499+E499, "")</f>
        <v/>
      </c>
      <c r="K499" s="33" t="str">
        <f aca="false">IF(C499&lt;&gt;"", L499-I499, "")</f>
        <v/>
      </c>
      <c r="L499" s="33" t="str">
        <f aca="false">IF(C499&lt;&gt;"", I499/(1-J499), "")</f>
        <v/>
      </c>
      <c r="M499" s="33" t="str">
        <f aca="false">IF(C499&lt;&gt;"", values!$A$2, "")</f>
        <v/>
      </c>
      <c r="N499" s="33" t="str">
        <f aca="false">IF(C499&lt;&gt;"", O499-L499, "")</f>
        <v/>
      </c>
      <c r="O499" s="33" t="str">
        <f aca="false">IF(C499&lt;&gt;"", L499/(1-M499), "")</f>
        <v/>
      </c>
    </row>
    <row r="500" customFormat="false" ht="12.8" hidden="false" customHeight="false" outlineLevel="0" collapsed="false">
      <c r="A500" s="1" t="s">
        <v>1954</v>
      </c>
      <c r="B500" s="31" t="s">
        <v>1955</v>
      </c>
      <c r="D500" s="32" t="str">
        <f aca="true">IF(C500&lt;&gt;"", SUM(INDEX(INDIRECT("'" &amp; B500 &amp; "'.$A$1:$Z$1000"), 0, MATCH("count", INDIRECT("'" &amp; B500 &amp; "'.$A$1:$Z$1"), 0))), "")</f>
        <v/>
      </c>
      <c r="E500" s="33" t="str">
        <f aca="true">IF(C500&lt;&gt;"", SUM(INDEX(INDIRECT("'" &amp; B500 &amp; "'.$A$1:$Z$1000"), 0, MATCH("cost", INDIRECT("'" &amp; B500 &amp; "'.$A$1:$Z$1"), 0))), "")</f>
        <v/>
      </c>
      <c r="F500" s="40" t="str">
        <f aca="true">IF(C500&lt;&gt;"", SUM(INDEX(INDIRECT("'" &amp; B500 &amp; "'.$A$1:$Z$1000"), 0, MATCH("total_assembly_time_min", INDIRECT("'" &amp; B500 &amp; "'.$A$1:$Z$1"), 0)))/60, "")</f>
        <v/>
      </c>
      <c r="G500" s="33" t="str">
        <f aca="false">IF(C500&lt;&gt;"", values!$B$2, "")</f>
        <v/>
      </c>
      <c r="H500" s="33" t="str">
        <f aca="false">IF(C500&lt;&gt;"", F500*G500, "")</f>
        <v/>
      </c>
      <c r="I500" s="33" t="str">
        <f aca="false">IF(C500&lt;&gt;"", H500+E500, "")</f>
        <v/>
      </c>
      <c r="K500" s="33" t="str">
        <f aca="false">IF(C500&lt;&gt;"", L500-I500, "")</f>
        <v/>
      </c>
      <c r="L500" s="33" t="str">
        <f aca="false">IF(C500&lt;&gt;"", I500/(1-J500), "")</f>
        <v/>
      </c>
      <c r="M500" s="33" t="str">
        <f aca="false">IF(C500&lt;&gt;"", values!$A$2, "")</f>
        <v/>
      </c>
      <c r="N500" s="33" t="str">
        <f aca="false">IF(C500&lt;&gt;"", O500-L500, "")</f>
        <v/>
      </c>
      <c r="O500" s="33" t="str">
        <f aca="false">IF(C500&lt;&gt;"", L500/(1-M500), "")</f>
        <v/>
      </c>
    </row>
    <row r="501" customFormat="false" ht="12.8" hidden="false" customHeight="false" outlineLevel="0" collapsed="false">
      <c r="A501" s="1" t="s">
        <v>1956</v>
      </c>
      <c r="B501" s="31" t="s">
        <v>1957</v>
      </c>
      <c r="D501" s="32" t="str">
        <f aca="true">IF(C501&lt;&gt;"", SUM(INDEX(INDIRECT("'" &amp; B501 &amp; "'.$A$1:$Z$1000"), 0, MATCH("count", INDIRECT("'" &amp; B501 &amp; "'.$A$1:$Z$1"), 0))), "")</f>
        <v/>
      </c>
      <c r="E501" s="33" t="str">
        <f aca="true">IF(C501&lt;&gt;"", SUM(INDEX(INDIRECT("'" &amp; B501 &amp; "'.$A$1:$Z$1000"), 0, MATCH("cost", INDIRECT("'" &amp; B501 &amp; "'.$A$1:$Z$1"), 0))), "")</f>
        <v/>
      </c>
      <c r="F501" s="40" t="str">
        <f aca="true">IF(C501&lt;&gt;"", SUM(INDEX(INDIRECT("'" &amp; B501 &amp; "'.$A$1:$Z$1000"), 0, MATCH("total_assembly_time_min", INDIRECT("'" &amp; B501 &amp; "'.$A$1:$Z$1"), 0)))/60, "")</f>
        <v/>
      </c>
      <c r="G501" s="33" t="str">
        <f aca="false">IF(C501&lt;&gt;"", values!$B$2, "")</f>
        <v/>
      </c>
      <c r="H501" s="33" t="str">
        <f aca="false">IF(C501&lt;&gt;"", F501*G501, "")</f>
        <v/>
      </c>
      <c r="I501" s="33" t="str">
        <f aca="false">IF(C501&lt;&gt;"", H501+E501, "")</f>
        <v/>
      </c>
      <c r="K501" s="33" t="str">
        <f aca="false">IF(C501&lt;&gt;"", L501-I501, "")</f>
        <v/>
      </c>
      <c r="L501" s="33" t="str">
        <f aca="false">IF(C501&lt;&gt;"", I501/(1-J501), "")</f>
        <v/>
      </c>
      <c r="M501" s="33" t="str">
        <f aca="false">IF(C501&lt;&gt;"", values!$A$2, "")</f>
        <v/>
      </c>
      <c r="N501" s="33" t="str">
        <f aca="false">IF(C501&lt;&gt;"", O501-L501, "")</f>
        <v/>
      </c>
      <c r="O501" s="33" t="str">
        <f aca="false">IF(C501&lt;&gt;"", L501/(1-M501), "")</f>
        <v/>
      </c>
    </row>
  </sheetData>
  <autoFilter ref="A1:O501"/>
  <dataValidations count="1">
    <dataValidation allowBlank="true" errorStyle="stop" operator="equal" showDropDown="false" showErrorMessage="true" showInputMessage="false" sqref="M1:M502 G2:G501 M503:M150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K2" activePane="bottomLeft" state="frozen"/>
      <selection pane="topLeft" activeCell="A1" activeCellId="0" sqref="A1"/>
      <selection pane="bottomLeft" activeCell="L20" activeCellId="0" sqref="L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18.92"/>
    <col collapsed="false" customWidth="true" hidden="false" outlineLevel="0" max="2" min="2" style="2" width="45.91"/>
    <col collapsed="false" customWidth="true" hidden="false" outlineLevel="0" max="3" min="3" style="2" width="16.83"/>
    <col collapsed="false" customWidth="true" hidden="false" outlineLevel="0" max="4" min="4" style="2" width="9.04"/>
    <col collapsed="false" customWidth="true" hidden="false" outlineLevel="0" max="5" min="5" style="1" width="35.2"/>
    <col collapsed="false" customWidth="true" hidden="false" outlineLevel="0" max="6" min="6" style="33" width="14.6"/>
    <col collapsed="false" customWidth="true" hidden="false" outlineLevel="0" max="7" min="7" style="33" width="11.96"/>
    <col collapsed="false" customWidth="true" hidden="false" outlineLevel="0" max="8" min="8" style="41" width="13.35"/>
    <col collapsed="false" customWidth="true" hidden="false" outlineLevel="0" max="9" min="9" style="41" width="12.79"/>
    <col collapsed="false" customWidth="false" hidden="false" outlineLevel="0" max="16383" min="10" style="2" width="11.53"/>
  </cols>
  <sheetData>
    <row r="1" customFormat="false" ht="40.25" hidden="false" customHeight="true" outlineLevel="0" collapsed="false">
      <c r="A1" s="7" t="s">
        <v>1958</v>
      </c>
      <c r="B1" s="6" t="s">
        <v>1959</v>
      </c>
      <c r="C1" s="38" t="s">
        <v>1960</v>
      </c>
      <c r="D1" s="38" t="s">
        <v>1961</v>
      </c>
      <c r="E1" s="6" t="s">
        <v>1962</v>
      </c>
      <c r="F1" s="37" t="s">
        <v>1963</v>
      </c>
      <c r="G1" s="37" t="s">
        <v>1964</v>
      </c>
      <c r="H1" s="42" t="s">
        <v>1965</v>
      </c>
      <c r="I1" s="42" t="s">
        <v>1966</v>
      </c>
      <c r="XFD1" s="12"/>
    </row>
    <row r="2" customFormat="false" ht="12.8" hidden="false" customHeight="false" outlineLevel="0" collapsed="false">
      <c r="A2" s="43" t="s">
        <v>17</v>
      </c>
      <c r="B2" s="2" t="s">
        <v>1967</v>
      </c>
      <c r="C2" s="2" t="s">
        <v>1968</v>
      </c>
      <c r="D2" s="2" t="n">
        <v>4</v>
      </c>
      <c r="E2" s="1" t="str">
        <f aca="false">IF(A2&lt;&gt;"", INDEX(components!$D$1:$D$1000, MATCH(A2, components!$C$1:$C$1000, 0)), "")</f>
        <v>Bolt ISO 4762 M3x5</v>
      </c>
      <c r="F2" s="33" t="n">
        <f aca="false">IF(A2&lt;&gt;"", INDEX(components!$N$1:$N$1000, MATCH(A2, components!$C$1:$C$1000, 0)), "")</f>
        <v>0.1</v>
      </c>
      <c r="G2" s="33" t="n">
        <f aca="false">IF(A2&lt;&gt;"", F2*D2, "")</f>
        <v>0.4</v>
      </c>
      <c r="H2" s="41" t="n">
        <f aca="false">IF(A2&lt;&gt;"", values!$C$2, "")</f>
        <v>2</v>
      </c>
      <c r="I2" s="41" t="n">
        <f aca="false">IF(A2&lt;&gt;"", H2*D2, "")</f>
        <v>8</v>
      </c>
    </row>
    <row r="3" customFormat="false" ht="12.8" hidden="false" customHeight="false" outlineLevel="0" collapsed="false">
      <c r="A3" s="43" t="s">
        <v>17</v>
      </c>
      <c r="B3" s="2" t="s">
        <v>1969</v>
      </c>
      <c r="C3" s="2" t="s">
        <v>1968</v>
      </c>
      <c r="D3" s="2" t="n">
        <v>4</v>
      </c>
      <c r="E3" s="1" t="str">
        <f aca="false">IF(A3&lt;&gt;"", INDEX(components!$D$1:$D$1000, MATCH(A3, components!$C$1:$C$1000, 0)), "")</f>
        <v>Bolt ISO 4762 M3x5</v>
      </c>
      <c r="F3" s="33" t="n">
        <f aca="false">IF(A3&lt;&gt;"", INDEX(components!$N$1:$N$1000, MATCH(A3, components!$C$1:$C$1000, 0)), "")</f>
        <v>0.1</v>
      </c>
      <c r="G3" s="33" t="n">
        <f aca="false">IF(A3&lt;&gt;"", F3*D3, "")</f>
        <v>0.4</v>
      </c>
      <c r="H3" s="41" t="n">
        <f aca="false">IF(A3&lt;&gt;"", values!$C$2, "")</f>
        <v>2</v>
      </c>
      <c r="I3" s="41" t="n">
        <f aca="false">IF(A3&lt;&gt;"", H3*D3, "")</f>
        <v>8</v>
      </c>
    </row>
    <row r="4" customFormat="false" ht="12.8" hidden="false" customHeight="false" outlineLevel="0" collapsed="false">
      <c r="A4" s="43" t="s">
        <v>17</v>
      </c>
      <c r="B4" s="2" t="s">
        <v>1970</v>
      </c>
      <c r="C4" s="2" t="s">
        <v>1968</v>
      </c>
      <c r="D4" s="2" t="n">
        <v>4</v>
      </c>
      <c r="E4" s="1" t="str">
        <f aca="false">IF(A4&lt;&gt;"", INDEX(components!$D$1:$D$1000, MATCH(A4, components!$C$1:$C$1000, 0)), "")</f>
        <v>Bolt ISO 4762 M3x5</v>
      </c>
      <c r="F4" s="33" t="n">
        <f aca="false">IF(A4&lt;&gt;"", INDEX(components!$N$1:$N$1000, MATCH(A4, components!$C$1:$C$1000, 0)), "")</f>
        <v>0.1</v>
      </c>
      <c r="G4" s="33" t="n">
        <f aca="false">IF(A4&lt;&gt;"", F4*D4, "")</f>
        <v>0.4</v>
      </c>
      <c r="H4" s="41" t="n">
        <f aca="false">IF(A4&lt;&gt;"", values!$C$2, "")</f>
        <v>2</v>
      </c>
      <c r="I4" s="41" t="n">
        <f aca="false">IF(A4&lt;&gt;"", H4*D4, "")</f>
        <v>8</v>
      </c>
    </row>
    <row r="5" customFormat="false" ht="12.8" hidden="false" customHeight="false" outlineLevel="0" collapsed="false">
      <c r="A5" s="43" t="s">
        <v>17</v>
      </c>
      <c r="B5" s="2" t="s">
        <v>1971</v>
      </c>
      <c r="C5" s="2" t="s">
        <v>1968</v>
      </c>
      <c r="D5" s="2" t="n">
        <v>4</v>
      </c>
      <c r="E5" s="1" t="str">
        <f aca="false">IF(A5&lt;&gt;"", INDEX(components!$D$1:$D$1000, MATCH(A5, components!$C$1:$C$1000, 0)), "")</f>
        <v>Bolt ISO 4762 M3x5</v>
      </c>
      <c r="F5" s="33" t="n">
        <f aca="false">IF(A5&lt;&gt;"", INDEX(components!$N$1:$N$1000, MATCH(A5, components!$C$1:$C$1000, 0)), "")</f>
        <v>0.1</v>
      </c>
      <c r="G5" s="33" t="n">
        <f aca="false">IF(A5&lt;&gt;"", F5*D5, "")</f>
        <v>0.4</v>
      </c>
      <c r="H5" s="41" t="n">
        <f aca="false">IF(A5&lt;&gt;"", values!$C$2, "")</f>
        <v>2</v>
      </c>
      <c r="I5" s="41" t="n">
        <f aca="false">IF(A5&lt;&gt;"", H5*D5, "")</f>
        <v>8</v>
      </c>
    </row>
    <row r="6" customFormat="false" ht="12.8" hidden="false" customHeight="false" outlineLevel="0" collapsed="false">
      <c r="A6" s="43" t="s">
        <v>17</v>
      </c>
      <c r="B6" s="2" t="s">
        <v>1972</v>
      </c>
      <c r="C6" s="2" t="s">
        <v>1968</v>
      </c>
      <c r="D6" s="2" t="n">
        <v>16</v>
      </c>
      <c r="E6" s="1" t="str">
        <f aca="false">IF(A6&lt;&gt;"", INDEX(components!$D$1:$D$1000, MATCH(A6, components!$C$1:$C$1000, 0)), "")</f>
        <v>Bolt ISO 4762 M3x5</v>
      </c>
      <c r="F6" s="33" t="n">
        <f aca="false">IF(A6&lt;&gt;"", INDEX(components!$N$1:$N$1000, MATCH(A6, components!$C$1:$C$1000, 0)), "")</f>
        <v>0.1</v>
      </c>
      <c r="G6" s="33" t="n">
        <f aca="false">IF(A6&lt;&gt;"", F6*D6, "")</f>
        <v>1.6</v>
      </c>
      <c r="H6" s="41" t="n">
        <f aca="false">IF(A6&lt;&gt;"", values!$C$2, "")</f>
        <v>2</v>
      </c>
      <c r="I6" s="41" t="n">
        <f aca="false">IF(A6&lt;&gt;"", H6*D6, "")</f>
        <v>32</v>
      </c>
    </row>
    <row r="7" customFormat="false" ht="12.8" hidden="false" customHeight="false" outlineLevel="0" collapsed="false">
      <c r="A7" s="43" t="s">
        <v>17</v>
      </c>
      <c r="B7" s="2" t="s">
        <v>1973</v>
      </c>
      <c r="C7" s="2" t="s">
        <v>1968</v>
      </c>
      <c r="D7" s="2" t="n">
        <v>32</v>
      </c>
      <c r="E7" s="1" t="str">
        <f aca="false">IF(A7&lt;&gt;"", INDEX(components!$D$1:$D$1000, MATCH(A7, components!$C$1:$C$1000, 0)), "")</f>
        <v>Bolt ISO 4762 M3x5</v>
      </c>
      <c r="F7" s="33" t="n">
        <f aca="false">IF(A7&lt;&gt;"", INDEX(components!$N$1:$N$1000, MATCH(A7, components!$C$1:$C$1000, 0)), "")</f>
        <v>0.1</v>
      </c>
      <c r="G7" s="33" t="n">
        <f aca="false">IF(A7&lt;&gt;"", F7*D7, "")</f>
        <v>3.2</v>
      </c>
      <c r="H7" s="41" t="n">
        <f aca="false">IF(A7&lt;&gt;"", values!$C$2, "")</f>
        <v>2</v>
      </c>
      <c r="I7" s="41" t="n">
        <f aca="false">IF(A7&lt;&gt;"", H7*D7, "")</f>
        <v>64</v>
      </c>
    </row>
    <row r="8" customFormat="false" ht="12.8" hidden="false" customHeight="false" outlineLevel="0" collapsed="false">
      <c r="A8" s="43" t="s">
        <v>17</v>
      </c>
      <c r="B8" s="2" t="s">
        <v>1974</v>
      </c>
      <c r="C8" s="2" t="s">
        <v>1968</v>
      </c>
      <c r="D8" s="2" t="n">
        <v>32</v>
      </c>
      <c r="E8" s="1" t="str">
        <f aca="false">IF(A8&lt;&gt;"", INDEX(components!$D$1:$D$1000, MATCH(A8, components!$C$1:$C$1000, 0)), "")</f>
        <v>Bolt ISO 4762 M3x5</v>
      </c>
      <c r="F8" s="33" t="n">
        <f aca="false">IF(A8&lt;&gt;"", INDEX(components!$N$1:$N$1000, MATCH(A8, components!$C$1:$C$1000, 0)), "")</f>
        <v>0.1</v>
      </c>
      <c r="G8" s="33" t="n">
        <f aca="false">IF(A8&lt;&gt;"", F8*D8, "")</f>
        <v>3.2</v>
      </c>
      <c r="H8" s="41" t="n">
        <f aca="false">IF(A8&lt;&gt;"", values!$C$2, "")</f>
        <v>2</v>
      </c>
      <c r="I8" s="41" t="n">
        <f aca="false">IF(A8&lt;&gt;"", H8*D8, "")</f>
        <v>64</v>
      </c>
    </row>
    <row r="9" customFormat="false" ht="12.8" hidden="false" customHeight="false" outlineLevel="0" collapsed="false">
      <c r="A9" s="43" t="s">
        <v>17</v>
      </c>
      <c r="B9" s="2" t="s">
        <v>1975</v>
      </c>
      <c r="C9" s="2" t="s">
        <v>1968</v>
      </c>
      <c r="D9" s="2" t="n">
        <v>32</v>
      </c>
      <c r="E9" s="1" t="str">
        <f aca="false">IF(A9&lt;&gt;"", INDEX(components!$D$1:$D$1000, MATCH(A9, components!$C$1:$C$1000, 0)), "")</f>
        <v>Bolt ISO 4762 M3x5</v>
      </c>
      <c r="F9" s="33" t="n">
        <f aca="false">IF(A9&lt;&gt;"", INDEX(components!$N$1:$N$1000, MATCH(A9, components!$C$1:$C$1000, 0)), "")</f>
        <v>0.1</v>
      </c>
      <c r="G9" s="33" t="n">
        <f aca="false">IF(A9&lt;&gt;"", F9*D9, "")</f>
        <v>3.2</v>
      </c>
      <c r="H9" s="41" t="n">
        <f aca="false">IF(A9&lt;&gt;"", values!$C$2, "")</f>
        <v>2</v>
      </c>
      <c r="I9" s="41" t="n">
        <f aca="false">IF(A9&lt;&gt;"", H9*D9, "")</f>
        <v>64</v>
      </c>
    </row>
    <row r="10" customFormat="false" ht="12.8" hidden="false" customHeight="false" outlineLevel="0" collapsed="false">
      <c r="A10" s="43" t="s">
        <v>17</v>
      </c>
      <c r="B10" s="2" t="s">
        <v>1976</v>
      </c>
      <c r="C10" s="2" t="s">
        <v>1977</v>
      </c>
      <c r="D10" s="2" t="n">
        <v>1</v>
      </c>
      <c r="E10" s="1" t="str">
        <f aca="false">IF(A10&lt;&gt;"", INDEX(components!$D$1:$D$1000, MATCH(A10, components!$C$1:$C$1000, 0)), "")</f>
        <v>Bolt ISO 4762 M3x5</v>
      </c>
      <c r="F10" s="33" t="n">
        <f aca="false">IF(A10&lt;&gt;"", INDEX(components!$N$1:$N$1000, MATCH(A10, components!$C$1:$C$1000, 0)), "")</f>
        <v>0.1</v>
      </c>
      <c r="G10" s="33" t="n">
        <f aca="false">IF(A10&lt;&gt;"", F10*D10, "")</f>
        <v>0.1</v>
      </c>
      <c r="H10" s="41" t="n">
        <f aca="false">IF(A10&lt;&gt;"", values!$C$2, "")</f>
        <v>2</v>
      </c>
      <c r="I10" s="41" t="n">
        <f aca="false">IF(A10&lt;&gt;"", H10*D10, "")</f>
        <v>2</v>
      </c>
    </row>
    <row r="11" customFormat="false" ht="12.8" hidden="false" customHeight="false" outlineLevel="0" collapsed="false">
      <c r="A11" s="43" t="s">
        <v>17</v>
      </c>
      <c r="B11" s="2" t="s">
        <v>1973</v>
      </c>
      <c r="C11" s="2" t="s">
        <v>1977</v>
      </c>
      <c r="D11" s="2" t="n">
        <v>8</v>
      </c>
      <c r="E11" s="1" t="str">
        <f aca="false">IF(A11&lt;&gt;"", INDEX(components!$D$1:$D$1000, MATCH(A11, components!$C$1:$C$1000, 0)), "")</f>
        <v>Bolt ISO 4762 M3x5</v>
      </c>
      <c r="F11" s="33" t="n">
        <f aca="false">IF(A11&lt;&gt;"", INDEX(components!$N$1:$N$1000, MATCH(A11, components!$C$1:$C$1000, 0)), "")</f>
        <v>0.1</v>
      </c>
      <c r="G11" s="33" t="n">
        <f aca="false">IF(A11&lt;&gt;"", F11*D11, "")</f>
        <v>0.8</v>
      </c>
      <c r="H11" s="41" t="n">
        <f aca="false">IF(A11&lt;&gt;"", values!$C$2, "")</f>
        <v>2</v>
      </c>
      <c r="I11" s="41" t="n">
        <f aca="false">IF(A11&lt;&gt;"", H11*D11, "")</f>
        <v>16</v>
      </c>
    </row>
    <row r="12" customFormat="false" ht="12.8" hidden="false" customHeight="false" outlineLevel="0" collapsed="false">
      <c r="A12" s="43" t="s">
        <v>17</v>
      </c>
      <c r="B12" s="2" t="s">
        <v>1978</v>
      </c>
      <c r="C12" s="2" t="s">
        <v>1979</v>
      </c>
      <c r="D12" s="2" t="n">
        <v>2</v>
      </c>
      <c r="E12" s="1" t="str">
        <f aca="false">IF(A12&lt;&gt;"", INDEX(components!$D$1:$D$1000, MATCH(A12, components!$C$1:$C$1000, 0)), "")</f>
        <v>Bolt ISO 4762 M3x5</v>
      </c>
      <c r="F12" s="33" t="n">
        <f aca="false">IF(A12&lt;&gt;"", INDEX(components!$N$1:$N$1000, MATCH(A12, components!$C$1:$C$1000, 0)), "")</f>
        <v>0.1</v>
      </c>
      <c r="G12" s="33" t="n">
        <f aca="false">IF(A12&lt;&gt;"", F12*D12, "")</f>
        <v>0.2</v>
      </c>
      <c r="H12" s="41" t="n">
        <f aca="false">IF(A12&lt;&gt;"", values!$C$2, "")</f>
        <v>2</v>
      </c>
      <c r="I12" s="41" t="n">
        <f aca="false">IF(A12&lt;&gt;"", H12*D12, "")</f>
        <v>4</v>
      </c>
    </row>
    <row r="13" customFormat="false" ht="12.8" hidden="false" customHeight="false" outlineLevel="0" collapsed="false">
      <c r="A13" s="43" t="s">
        <v>17</v>
      </c>
      <c r="B13" s="2" t="s">
        <v>1973</v>
      </c>
      <c r="C13" s="2" t="s">
        <v>1979</v>
      </c>
      <c r="D13" s="2" t="n">
        <v>16</v>
      </c>
      <c r="E13" s="1" t="str">
        <f aca="false">IF(A13&lt;&gt;"", INDEX(components!$D$1:$D$1000, MATCH(A13, components!$C$1:$C$1000, 0)), "")</f>
        <v>Bolt ISO 4762 M3x5</v>
      </c>
      <c r="F13" s="33" t="n">
        <f aca="false">IF(A13&lt;&gt;"", INDEX(components!$N$1:$N$1000, MATCH(A13, components!$C$1:$C$1000, 0)), "")</f>
        <v>0.1</v>
      </c>
      <c r="G13" s="33" t="n">
        <f aca="false">IF(A13&lt;&gt;"", F13*D13, "")</f>
        <v>1.6</v>
      </c>
      <c r="H13" s="41" t="n">
        <f aca="false">IF(A13&lt;&gt;"", values!$C$2, "")</f>
        <v>2</v>
      </c>
      <c r="I13" s="41" t="n">
        <f aca="false">IF(A13&lt;&gt;"", H13*D13, "")</f>
        <v>32</v>
      </c>
    </row>
    <row r="14" customFormat="false" ht="12.8" hidden="false" customHeight="false" outlineLevel="0" collapsed="false">
      <c r="A14" s="43" t="s">
        <v>17</v>
      </c>
      <c r="B14" s="2" t="s">
        <v>1980</v>
      </c>
      <c r="C14" s="2" t="s">
        <v>1979</v>
      </c>
      <c r="D14" s="2" t="n">
        <v>4</v>
      </c>
      <c r="E14" s="1" t="str">
        <f aca="false">IF(A14&lt;&gt;"", INDEX(components!$D$1:$D$1000, MATCH(A14, components!$C$1:$C$1000, 0)), "")</f>
        <v>Bolt ISO 4762 M3x5</v>
      </c>
      <c r="F14" s="33" t="n">
        <f aca="false">IF(A14&lt;&gt;"", INDEX(components!$N$1:$N$1000, MATCH(A14, components!$C$1:$C$1000, 0)), "")</f>
        <v>0.1</v>
      </c>
      <c r="G14" s="33" t="n">
        <f aca="false">IF(A14&lt;&gt;"", F14*D14, "")</f>
        <v>0.4</v>
      </c>
      <c r="H14" s="41" t="n">
        <f aca="false">IF(A14&lt;&gt;"", values!$C$2, "")</f>
        <v>2</v>
      </c>
      <c r="I14" s="41" t="n">
        <f aca="false">IF(A14&lt;&gt;"", H14*D14, "")</f>
        <v>8</v>
      </c>
    </row>
    <row r="15" customFormat="false" ht="12.8" hidden="false" customHeight="false" outlineLevel="0" collapsed="false">
      <c r="A15" s="43" t="s">
        <v>17</v>
      </c>
      <c r="B15" s="2" t="s">
        <v>1981</v>
      </c>
      <c r="C15" s="2" t="s">
        <v>1979</v>
      </c>
      <c r="D15" s="2" t="n">
        <v>1</v>
      </c>
      <c r="E15" s="1" t="str">
        <f aca="false">IF(A15&lt;&gt;"", INDEX(components!$D$1:$D$1000, MATCH(A15, components!$C$1:$C$1000, 0)), "")</f>
        <v>Bolt ISO 4762 M3x5</v>
      </c>
      <c r="F15" s="33" t="n">
        <f aca="false">IF(A15&lt;&gt;"", INDEX(components!$N$1:$N$1000, MATCH(A15, components!$C$1:$C$1000, 0)), "")</f>
        <v>0.1</v>
      </c>
      <c r="G15" s="33" t="n">
        <f aca="false">IF(A15&lt;&gt;"", F15*D15, "")</f>
        <v>0.1</v>
      </c>
      <c r="H15" s="41" t="n">
        <f aca="false">IF(A15&lt;&gt;"", values!$C$2, "")</f>
        <v>2</v>
      </c>
      <c r="I15" s="41" t="n">
        <f aca="false">IF(A15&lt;&gt;"", H15*D15, "")</f>
        <v>2</v>
      </c>
    </row>
    <row r="16" customFormat="false" ht="12.8" hidden="false" customHeight="false" outlineLevel="0" collapsed="false">
      <c r="A16" s="43" t="s">
        <v>17</v>
      </c>
      <c r="B16" s="2" t="s">
        <v>1982</v>
      </c>
      <c r="C16" s="2" t="s">
        <v>1979</v>
      </c>
      <c r="D16" s="2" t="n">
        <v>1</v>
      </c>
      <c r="E16" s="1" t="str">
        <f aca="false">IF(A16&lt;&gt;"", INDEX(components!$D$1:$D$1000, MATCH(A16, components!$C$1:$C$1000, 0)), "")</f>
        <v>Bolt ISO 4762 M3x5</v>
      </c>
      <c r="F16" s="33" t="n">
        <f aca="false">IF(A16&lt;&gt;"", INDEX(components!$N$1:$N$1000, MATCH(A16, components!$C$1:$C$1000, 0)), "")</f>
        <v>0.1</v>
      </c>
      <c r="G16" s="33" t="n">
        <f aca="false">IF(A16&lt;&gt;"", F16*D16, "")</f>
        <v>0.1</v>
      </c>
      <c r="H16" s="41" t="n">
        <f aca="false">IF(A16&lt;&gt;"", values!$C$2, "")</f>
        <v>2</v>
      </c>
      <c r="I16" s="41" t="n">
        <f aca="false">IF(A16&lt;&gt;"", H16*D16, "")</f>
        <v>2</v>
      </c>
    </row>
    <row r="17" customFormat="false" ht="12.8" hidden="false" customHeight="false" outlineLevel="0" collapsed="false">
      <c r="A17" s="43" t="s">
        <v>17</v>
      </c>
      <c r="B17" s="2" t="s">
        <v>1983</v>
      </c>
      <c r="C17" s="2" t="s">
        <v>1979</v>
      </c>
      <c r="D17" s="2" t="n">
        <v>1</v>
      </c>
      <c r="E17" s="1" t="str">
        <f aca="false">IF(A17&lt;&gt;"", INDEX(components!$D$1:$D$1000, MATCH(A17, components!$C$1:$C$1000, 0)), "")</f>
        <v>Bolt ISO 4762 M3x5</v>
      </c>
      <c r="F17" s="33" t="n">
        <f aca="false">IF(A17&lt;&gt;"", INDEX(components!$N$1:$N$1000, MATCH(A17, components!$C$1:$C$1000, 0)), "")</f>
        <v>0.1</v>
      </c>
      <c r="G17" s="33" t="n">
        <f aca="false">IF(A17&lt;&gt;"", F17*D17, "")</f>
        <v>0.1</v>
      </c>
      <c r="H17" s="41" t="n">
        <f aca="false">IF(A17&lt;&gt;"", values!$C$2, "")</f>
        <v>2</v>
      </c>
      <c r="I17" s="41" t="n">
        <f aca="false">IF(A17&lt;&gt;"", H17*D17, "")</f>
        <v>2</v>
      </c>
    </row>
    <row r="18" customFormat="false" ht="12.8" hidden="false" customHeight="false" outlineLevel="0" collapsed="false">
      <c r="A18" s="43" t="s">
        <v>17</v>
      </c>
      <c r="B18" s="2" t="s">
        <v>1984</v>
      </c>
      <c r="C18" s="2" t="s">
        <v>1979</v>
      </c>
      <c r="D18" s="2" t="n">
        <v>1</v>
      </c>
      <c r="E18" s="1" t="str">
        <f aca="false">IF(A18&lt;&gt;"", INDEX(components!$D$1:$D$1000, MATCH(A18, components!$C$1:$C$1000, 0)), "")</f>
        <v>Bolt ISO 4762 M3x5</v>
      </c>
      <c r="F18" s="33" t="n">
        <f aca="false">IF(A18&lt;&gt;"", INDEX(components!$N$1:$N$1000, MATCH(A18, components!$C$1:$C$1000, 0)), "")</f>
        <v>0.1</v>
      </c>
      <c r="G18" s="33" t="n">
        <f aca="false">IF(A18&lt;&gt;"", F18*D18, "")</f>
        <v>0.1</v>
      </c>
      <c r="H18" s="41" t="n">
        <f aca="false">IF(A18&lt;&gt;"", values!$C$2, "")</f>
        <v>2</v>
      </c>
      <c r="I18" s="41" t="n">
        <f aca="false">IF(A18&lt;&gt;"", H18*D18, "")</f>
        <v>2</v>
      </c>
    </row>
    <row r="19" customFormat="false" ht="12.8" hidden="false" customHeight="false" outlineLevel="0" collapsed="false">
      <c r="A19" s="43" t="s">
        <v>17</v>
      </c>
      <c r="B19" s="2" t="s">
        <v>1985</v>
      </c>
      <c r="C19" s="2" t="s">
        <v>1979</v>
      </c>
      <c r="D19" s="2" t="n">
        <v>1</v>
      </c>
      <c r="E19" s="1" t="str">
        <f aca="false">IF(A19&lt;&gt;"", INDEX(components!$D$1:$D$1000, MATCH(A19, components!$C$1:$C$1000, 0)), "")</f>
        <v>Bolt ISO 4762 M3x5</v>
      </c>
      <c r="F19" s="33" t="n">
        <f aca="false">IF(A19&lt;&gt;"", INDEX(components!$N$1:$N$1000, MATCH(A19, components!$C$1:$C$1000, 0)), "")</f>
        <v>0.1</v>
      </c>
      <c r="G19" s="33" t="n">
        <f aca="false">IF(A19&lt;&gt;"", F19*D19, "")</f>
        <v>0.1</v>
      </c>
      <c r="H19" s="41" t="n">
        <f aca="false">IF(A19&lt;&gt;"", values!$C$2, "")</f>
        <v>2</v>
      </c>
      <c r="I19" s="41" t="n">
        <f aca="false">IF(A19&lt;&gt;"", H19*D19, "")</f>
        <v>2</v>
      </c>
    </row>
    <row r="20" customFormat="false" ht="12.8" hidden="false" customHeight="false" outlineLevel="0" collapsed="false">
      <c r="A20" s="43" t="s">
        <v>17</v>
      </c>
      <c r="B20" s="2" t="s">
        <v>1986</v>
      </c>
      <c r="C20" s="2" t="s">
        <v>1979</v>
      </c>
      <c r="D20" s="2" t="n">
        <v>1</v>
      </c>
      <c r="E20" s="1" t="str">
        <f aca="false">IF(A20&lt;&gt;"", INDEX(components!$D$1:$D$1000, MATCH(A20, components!$C$1:$C$1000, 0)), "")</f>
        <v>Bolt ISO 4762 M3x5</v>
      </c>
      <c r="F20" s="33" t="n">
        <f aca="false">IF(A20&lt;&gt;"", INDEX(components!$N$1:$N$1000, MATCH(A20, components!$C$1:$C$1000, 0)), "")</f>
        <v>0.1</v>
      </c>
      <c r="G20" s="33" t="n">
        <f aca="false">IF(A20&lt;&gt;"", F20*D20, "")</f>
        <v>0.1</v>
      </c>
      <c r="H20" s="41" t="n">
        <f aca="false">IF(A20&lt;&gt;"", values!$C$2, "")</f>
        <v>2</v>
      </c>
      <c r="I20" s="41" t="n">
        <f aca="false">IF(A20&lt;&gt;"", H20*D20, "")</f>
        <v>2</v>
      </c>
    </row>
    <row r="21" customFormat="false" ht="12.8" hidden="false" customHeight="false" outlineLevel="0" collapsed="false">
      <c r="A21" s="43" t="s">
        <v>17</v>
      </c>
      <c r="B21" s="2" t="s">
        <v>1987</v>
      </c>
      <c r="C21" s="2" t="s">
        <v>1979</v>
      </c>
      <c r="D21" s="2" t="n">
        <v>1</v>
      </c>
      <c r="E21" s="1" t="str">
        <f aca="false">IF(A21&lt;&gt;"", INDEX(components!$D$1:$D$1000, MATCH(A21, components!$C$1:$C$1000, 0)), "")</f>
        <v>Bolt ISO 4762 M3x5</v>
      </c>
      <c r="F21" s="33" t="n">
        <f aca="false">IF(A21&lt;&gt;"", INDEX(components!$N$1:$N$1000, MATCH(A21, components!$C$1:$C$1000, 0)), "")</f>
        <v>0.1</v>
      </c>
      <c r="G21" s="33" t="n">
        <f aca="false">IF(A21&lt;&gt;"", F21*D21, "")</f>
        <v>0.1</v>
      </c>
      <c r="H21" s="41" t="n">
        <f aca="false">IF(A21&lt;&gt;"", values!$C$2, "")</f>
        <v>2</v>
      </c>
      <c r="I21" s="41" t="n">
        <f aca="false">IF(A21&lt;&gt;"", H21*D21, "")</f>
        <v>2</v>
      </c>
    </row>
    <row r="22" customFormat="false" ht="12.8" hidden="false" customHeight="false" outlineLevel="0" collapsed="false">
      <c r="A22" s="43" t="s">
        <v>17</v>
      </c>
      <c r="B22" s="2" t="s">
        <v>1988</v>
      </c>
      <c r="C22" s="2" t="s">
        <v>1989</v>
      </c>
      <c r="D22" s="2" t="n">
        <v>1</v>
      </c>
      <c r="E22" s="1" t="str">
        <f aca="false">IF(A22&lt;&gt;"", INDEX(components!$D$1:$D$1000, MATCH(A22, components!$C$1:$C$1000, 0)), "")</f>
        <v>Bolt ISO 4762 M3x5</v>
      </c>
      <c r="F22" s="33" t="n">
        <f aca="false">IF(A22&lt;&gt;"", INDEX(components!$N$1:$N$1000, MATCH(A22, components!$C$1:$C$1000, 0)), "")</f>
        <v>0.1</v>
      </c>
      <c r="G22" s="33" t="n">
        <f aca="false">IF(A22&lt;&gt;"", F22*D22, "")</f>
        <v>0.1</v>
      </c>
      <c r="H22" s="41" t="n">
        <f aca="false">IF(A22&lt;&gt;"", values!$C$2, "")</f>
        <v>2</v>
      </c>
      <c r="I22" s="41" t="n">
        <f aca="false">IF(A22&lt;&gt;"", H22*D22, "")</f>
        <v>2</v>
      </c>
    </row>
    <row r="23" customFormat="false" ht="12.8" hidden="false" customHeight="false" outlineLevel="0" collapsed="false">
      <c r="A23" s="43" t="s">
        <v>17</v>
      </c>
      <c r="B23" s="2" t="s">
        <v>1990</v>
      </c>
      <c r="C23" s="2" t="s">
        <v>1989</v>
      </c>
      <c r="D23" s="2" t="n">
        <v>1</v>
      </c>
      <c r="E23" s="1" t="str">
        <f aca="false">IF(A23&lt;&gt;"", INDEX(components!$D$1:$D$1000, MATCH(A23, components!$C$1:$C$1000, 0)), "")</f>
        <v>Bolt ISO 4762 M3x5</v>
      </c>
      <c r="F23" s="33" t="n">
        <f aca="false">IF(A23&lt;&gt;"", INDEX(components!$N$1:$N$1000, MATCH(A23, components!$C$1:$C$1000, 0)), "")</f>
        <v>0.1</v>
      </c>
      <c r="G23" s="33" t="n">
        <f aca="false">IF(A23&lt;&gt;"", F23*D23, "")</f>
        <v>0.1</v>
      </c>
      <c r="H23" s="41" t="n">
        <f aca="false">IF(A23&lt;&gt;"", values!$C$2, "")</f>
        <v>2</v>
      </c>
      <c r="I23" s="41" t="n">
        <f aca="false">IF(A23&lt;&gt;"", H23*D23, "")</f>
        <v>2</v>
      </c>
    </row>
    <row r="24" customFormat="false" ht="12.8" hidden="false" customHeight="false" outlineLevel="0" collapsed="false">
      <c r="A24" s="43" t="s">
        <v>17</v>
      </c>
      <c r="B24" s="2" t="s">
        <v>1991</v>
      </c>
      <c r="C24" s="2" t="s">
        <v>1989</v>
      </c>
      <c r="D24" s="2" t="n">
        <v>2</v>
      </c>
      <c r="E24" s="1" t="str">
        <f aca="false">IF(A24&lt;&gt;"", INDEX(components!$D$1:$D$1000, MATCH(A24, components!$C$1:$C$1000, 0)), "")</f>
        <v>Bolt ISO 4762 M3x5</v>
      </c>
      <c r="F24" s="33" t="n">
        <f aca="false">IF(A24&lt;&gt;"", INDEX(components!$N$1:$N$1000, MATCH(A24, components!$C$1:$C$1000, 0)), "")</f>
        <v>0.1</v>
      </c>
      <c r="G24" s="33" t="n">
        <f aca="false">IF(A24&lt;&gt;"", F24*D24, "")</f>
        <v>0.2</v>
      </c>
      <c r="H24" s="41" t="n">
        <f aca="false">IF(A24&lt;&gt;"", values!$C$2, "")</f>
        <v>2</v>
      </c>
      <c r="I24" s="41" t="n">
        <f aca="false">IF(A24&lt;&gt;"", H24*D24, "")</f>
        <v>4</v>
      </c>
    </row>
    <row r="25" customFormat="false" ht="12.8" hidden="false" customHeight="false" outlineLevel="0" collapsed="false">
      <c r="A25" s="43" t="s">
        <v>17</v>
      </c>
      <c r="B25" s="2" t="s">
        <v>1992</v>
      </c>
      <c r="C25" s="2" t="s">
        <v>1989</v>
      </c>
      <c r="D25" s="2" t="n">
        <v>4</v>
      </c>
      <c r="E25" s="1" t="str">
        <f aca="false">IF(A25&lt;&gt;"", INDEX(components!$D$1:$D$1000, MATCH(A25, components!$C$1:$C$1000, 0)), "")</f>
        <v>Bolt ISO 4762 M3x5</v>
      </c>
      <c r="F25" s="33" t="n">
        <f aca="false">IF(A25&lt;&gt;"", INDEX(components!$N$1:$N$1000, MATCH(A25, components!$C$1:$C$1000, 0)), "")</f>
        <v>0.1</v>
      </c>
      <c r="G25" s="33" t="n">
        <f aca="false">IF(A25&lt;&gt;"", F25*D25, "")</f>
        <v>0.4</v>
      </c>
      <c r="H25" s="41" t="n">
        <f aca="false">IF(A25&lt;&gt;"", values!$C$2, "")</f>
        <v>2</v>
      </c>
      <c r="I25" s="41" t="n">
        <f aca="false">IF(A25&lt;&gt;"", H25*D25, "")</f>
        <v>8</v>
      </c>
    </row>
    <row r="26" customFormat="false" ht="12.8" hidden="false" customHeight="false" outlineLevel="0" collapsed="false">
      <c r="A26" s="43" t="s">
        <v>17</v>
      </c>
      <c r="B26" s="2" t="s">
        <v>1973</v>
      </c>
      <c r="C26" s="2" t="s">
        <v>1989</v>
      </c>
      <c r="D26" s="2" t="n">
        <v>32</v>
      </c>
      <c r="E26" s="1" t="str">
        <f aca="false">IF(A26&lt;&gt;"", INDEX(components!$D$1:$D$1000, MATCH(A26, components!$C$1:$C$1000, 0)), "")</f>
        <v>Bolt ISO 4762 M3x5</v>
      </c>
      <c r="F26" s="33" t="n">
        <f aca="false">IF(A26&lt;&gt;"", INDEX(components!$N$1:$N$1000, MATCH(A26, components!$C$1:$C$1000, 0)), "")</f>
        <v>0.1</v>
      </c>
      <c r="G26" s="33" t="n">
        <f aca="false">IF(A26&lt;&gt;"", F26*D26, "")</f>
        <v>3.2</v>
      </c>
      <c r="H26" s="41" t="n">
        <f aca="false">IF(A26&lt;&gt;"", values!$C$2, "")</f>
        <v>2</v>
      </c>
      <c r="I26" s="41" t="n">
        <f aca="false">IF(A26&lt;&gt;"", H26*D26, "")</f>
        <v>64</v>
      </c>
    </row>
    <row r="27" customFormat="false" ht="12.8" hidden="false" customHeight="false" outlineLevel="0" collapsed="false">
      <c r="A27" s="43" t="s">
        <v>17</v>
      </c>
      <c r="B27" s="2" t="s">
        <v>1974</v>
      </c>
      <c r="C27" s="2" t="s">
        <v>1989</v>
      </c>
      <c r="D27" s="2" t="n">
        <v>32</v>
      </c>
      <c r="E27" s="1" t="str">
        <f aca="false">IF(A27&lt;&gt;"", INDEX(components!$D$1:$D$1000, MATCH(A27, components!$C$1:$C$1000, 0)), "")</f>
        <v>Bolt ISO 4762 M3x5</v>
      </c>
      <c r="F27" s="33" t="n">
        <f aca="false">IF(A27&lt;&gt;"", INDEX(components!$N$1:$N$1000, MATCH(A27, components!$C$1:$C$1000, 0)), "")</f>
        <v>0.1</v>
      </c>
      <c r="G27" s="33" t="n">
        <f aca="false">IF(A27&lt;&gt;"", F27*D27, "")</f>
        <v>3.2</v>
      </c>
      <c r="H27" s="41" t="n">
        <f aca="false">IF(A27&lt;&gt;"", values!$C$2, "")</f>
        <v>2</v>
      </c>
      <c r="I27" s="41" t="n">
        <f aca="false">IF(A27&lt;&gt;"", H27*D27, "")</f>
        <v>64</v>
      </c>
    </row>
    <row r="28" customFormat="false" ht="12.8" hidden="false" customHeight="false" outlineLevel="0" collapsed="false">
      <c r="A28" s="43" t="s">
        <v>17</v>
      </c>
      <c r="B28" s="2" t="s">
        <v>1975</v>
      </c>
      <c r="C28" s="2" t="s">
        <v>1989</v>
      </c>
      <c r="D28" s="2" t="n">
        <v>32</v>
      </c>
      <c r="E28" s="1" t="str">
        <f aca="false">IF(A28&lt;&gt;"", INDEX(components!$D$1:$D$1000, MATCH(A28, components!$C$1:$C$1000, 0)), "")</f>
        <v>Bolt ISO 4762 M3x5</v>
      </c>
      <c r="F28" s="33" t="n">
        <f aca="false">IF(A28&lt;&gt;"", INDEX(components!$N$1:$N$1000, MATCH(A28, components!$C$1:$C$1000, 0)), "")</f>
        <v>0.1</v>
      </c>
      <c r="G28" s="33" t="n">
        <f aca="false">IF(A28&lt;&gt;"", F28*D28, "")</f>
        <v>3.2</v>
      </c>
      <c r="H28" s="41" t="n">
        <f aca="false">IF(A28&lt;&gt;"", values!$C$2, "")</f>
        <v>2</v>
      </c>
      <c r="I28" s="41" t="n">
        <f aca="false">IF(A28&lt;&gt;"", H28*D28, "")</f>
        <v>64</v>
      </c>
    </row>
    <row r="29" customFormat="false" ht="12.8" hidden="false" customHeight="false" outlineLevel="0" collapsed="false">
      <c r="A29" s="43" t="s">
        <v>17</v>
      </c>
      <c r="B29" s="2" t="s">
        <v>1978</v>
      </c>
      <c r="C29" s="2" t="s">
        <v>1993</v>
      </c>
      <c r="D29" s="2" t="n">
        <v>2</v>
      </c>
      <c r="E29" s="1" t="str">
        <f aca="false">IF(A29&lt;&gt;"", INDEX(components!$D$1:$D$1000, MATCH(A29, components!$C$1:$C$1000, 0)), "")</f>
        <v>Bolt ISO 4762 M3x5</v>
      </c>
      <c r="F29" s="33" t="n">
        <f aca="false">IF(A29&lt;&gt;"", INDEX(components!$N$1:$N$1000, MATCH(A29, components!$C$1:$C$1000, 0)), "")</f>
        <v>0.1</v>
      </c>
      <c r="G29" s="33" t="n">
        <f aca="false">IF(A29&lt;&gt;"", F29*D29, "")</f>
        <v>0.2</v>
      </c>
      <c r="H29" s="41" t="n">
        <f aca="false">IF(A29&lt;&gt;"", values!$C$2, "")</f>
        <v>2</v>
      </c>
      <c r="I29" s="41" t="n">
        <f aca="false">IF(A29&lt;&gt;"", H29*D29, "")</f>
        <v>4</v>
      </c>
    </row>
    <row r="30" customFormat="false" ht="12.8" hidden="false" customHeight="false" outlineLevel="0" collapsed="false">
      <c r="A30" s="43" t="s">
        <v>17</v>
      </c>
      <c r="B30" s="2" t="s">
        <v>1994</v>
      </c>
      <c r="C30" s="2" t="s">
        <v>1993</v>
      </c>
      <c r="D30" s="2" t="n">
        <v>16</v>
      </c>
      <c r="E30" s="1" t="str">
        <f aca="false">IF(A30&lt;&gt;"", INDEX(components!$D$1:$D$1000, MATCH(A30, components!$C$1:$C$1000, 0)), "")</f>
        <v>Bolt ISO 4762 M3x5</v>
      </c>
      <c r="F30" s="33" t="n">
        <f aca="false">IF(A30&lt;&gt;"", INDEX(components!$N$1:$N$1000, MATCH(A30, components!$C$1:$C$1000, 0)), "")</f>
        <v>0.1</v>
      </c>
      <c r="G30" s="33" t="n">
        <f aca="false">IF(A30&lt;&gt;"", F30*D30, "")</f>
        <v>1.6</v>
      </c>
      <c r="H30" s="41" t="n">
        <f aca="false">IF(A30&lt;&gt;"", values!$C$2, "")</f>
        <v>2</v>
      </c>
      <c r="I30" s="41" t="n">
        <f aca="false">IF(A30&lt;&gt;"", H30*D30, "")</f>
        <v>32</v>
      </c>
    </row>
    <row r="31" customFormat="false" ht="12.8" hidden="false" customHeight="false" outlineLevel="0" collapsed="false">
      <c r="A31" s="43" t="s">
        <v>17</v>
      </c>
      <c r="B31" s="2" t="s">
        <v>1980</v>
      </c>
      <c r="C31" s="2" t="s">
        <v>1993</v>
      </c>
      <c r="D31" s="2" t="n">
        <v>4</v>
      </c>
      <c r="E31" s="1" t="str">
        <f aca="false">IF(A31&lt;&gt;"", INDEX(components!$D$1:$D$1000, MATCH(A31, components!$C$1:$C$1000, 0)), "")</f>
        <v>Bolt ISO 4762 M3x5</v>
      </c>
      <c r="F31" s="33" t="n">
        <f aca="false">IF(A31&lt;&gt;"", INDEX(components!$N$1:$N$1000, MATCH(A31, components!$C$1:$C$1000, 0)), "")</f>
        <v>0.1</v>
      </c>
      <c r="G31" s="33" t="n">
        <f aca="false">IF(A31&lt;&gt;"", F31*D31, "")</f>
        <v>0.4</v>
      </c>
      <c r="H31" s="41" t="n">
        <f aca="false">IF(A31&lt;&gt;"", values!$C$2, "")</f>
        <v>2</v>
      </c>
      <c r="I31" s="41" t="n">
        <f aca="false">IF(A31&lt;&gt;"", H31*D31, "")</f>
        <v>8</v>
      </c>
    </row>
    <row r="32" customFormat="false" ht="12.8" hidden="false" customHeight="false" outlineLevel="0" collapsed="false">
      <c r="A32" s="43" t="s">
        <v>17</v>
      </c>
      <c r="B32" s="2" t="s">
        <v>1995</v>
      </c>
      <c r="C32" s="2" t="s">
        <v>1993</v>
      </c>
      <c r="D32" s="2" t="n">
        <v>16</v>
      </c>
      <c r="E32" s="1" t="str">
        <f aca="false">IF(A32&lt;&gt;"", INDEX(components!$D$1:$D$1000, MATCH(A32, components!$C$1:$C$1000, 0)), "")</f>
        <v>Bolt ISO 4762 M3x5</v>
      </c>
      <c r="F32" s="33" t="n">
        <f aca="false">IF(A32&lt;&gt;"", INDEX(components!$N$1:$N$1000, MATCH(A32, components!$C$1:$C$1000, 0)), "")</f>
        <v>0.1</v>
      </c>
      <c r="G32" s="33" t="n">
        <f aca="false">IF(A32&lt;&gt;"", F32*D32, "")</f>
        <v>1.6</v>
      </c>
      <c r="H32" s="41" t="n">
        <f aca="false">IF(A32&lt;&gt;"", values!$C$2, "")</f>
        <v>2</v>
      </c>
      <c r="I32" s="41" t="n">
        <f aca="false">IF(A32&lt;&gt;"", H32*D32, "")</f>
        <v>32</v>
      </c>
    </row>
    <row r="33" customFormat="false" ht="12.8" hidden="false" customHeight="false" outlineLevel="0" collapsed="false">
      <c r="A33" s="43" t="s">
        <v>17</v>
      </c>
      <c r="B33" s="2" t="s">
        <v>1996</v>
      </c>
      <c r="C33" s="2" t="s">
        <v>1993</v>
      </c>
      <c r="D33" s="2" t="n">
        <v>1</v>
      </c>
      <c r="E33" s="1" t="str">
        <f aca="false">IF(A33&lt;&gt;"", INDEX(components!$D$1:$D$1000, MATCH(A33, components!$C$1:$C$1000, 0)), "")</f>
        <v>Bolt ISO 4762 M3x5</v>
      </c>
      <c r="F33" s="33" t="n">
        <f aca="false">IF(A33&lt;&gt;"", INDEX(components!$N$1:$N$1000, MATCH(A33, components!$C$1:$C$1000, 0)), "")</f>
        <v>0.1</v>
      </c>
      <c r="G33" s="33" t="n">
        <f aca="false">IF(A33&lt;&gt;"", F33*D33, "")</f>
        <v>0.1</v>
      </c>
      <c r="H33" s="41" t="n">
        <f aca="false">IF(A33&lt;&gt;"", values!$C$2, "")</f>
        <v>2</v>
      </c>
      <c r="I33" s="41" t="n">
        <f aca="false">IF(A33&lt;&gt;"", H33*D33, "")</f>
        <v>2</v>
      </c>
    </row>
    <row r="34" customFormat="false" ht="12.8" hidden="false" customHeight="false" outlineLevel="0" collapsed="false">
      <c r="A34" s="43" t="s">
        <v>17</v>
      </c>
      <c r="B34" s="2" t="s">
        <v>1982</v>
      </c>
      <c r="C34" s="2" t="s">
        <v>1993</v>
      </c>
      <c r="D34" s="2" t="n">
        <v>1</v>
      </c>
      <c r="E34" s="1" t="str">
        <f aca="false">IF(A34&lt;&gt;"", INDEX(components!$D$1:$D$1000, MATCH(A34, components!$C$1:$C$1000, 0)), "")</f>
        <v>Bolt ISO 4762 M3x5</v>
      </c>
      <c r="F34" s="33" t="n">
        <f aca="false">IF(A34&lt;&gt;"", INDEX(components!$N$1:$N$1000, MATCH(A34, components!$C$1:$C$1000, 0)), "")</f>
        <v>0.1</v>
      </c>
      <c r="G34" s="33" t="n">
        <f aca="false">IF(A34&lt;&gt;"", F34*D34, "")</f>
        <v>0.1</v>
      </c>
      <c r="H34" s="41" t="n">
        <f aca="false">IF(A34&lt;&gt;"", values!$C$2, "")</f>
        <v>2</v>
      </c>
      <c r="I34" s="41" t="n">
        <f aca="false">IF(A34&lt;&gt;"", H34*D34, "")</f>
        <v>2</v>
      </c>
    </row>
    <row r="35" customFormat="false" ht="12.8" hidden="false" customHeight="false" outlineLevel="0" collapsed="false">
      <c r="A35" s="43" t="s">
        <v>17</v>
      </c>
      <c r="B35" s="2" t="s">
        <v>1983</v>
      </c>
      <c r="C35" s="2" t="s">
        <v>1993</v>
      </c>
      <c r="D35" s="2" t="n">
        <v>1</v>
      </c>
      <c r="E35" s="1" t="str">
        <f aca="false">IF(A35&lt;&gt;"", INDEX(components!$D$1:$D$1000, MATCH(A35, components!$C$1:$C$1000, 0)), "")</f>
        <v>Bolt ISO 4762 M3x5</v>
      </c>
      <c r="F35" s="33" t="n">
        <f aca="false">IF(A35&lt;&gt;"", INDEX(components!$N$1:$N$1000, MATCH(A35, components!$C$1:$C$1000, 0)), "")</f>
        <v>0.1</v>
      </c>
      <c r="G35" s="33" t="n">
        <f aca="false">IF(A35&lt;&gt;"", F35*D35, "")</f>
        <v>0.1</v>
      </c>
      <c r="H35" s="41" t="n">
        <f aca="false">IF(A35&lt;&gt;"", values!$C$2, "")</f>
        <v>2</v>
      </c>
      <c r="I35" s="41" t="n">
        <f aca="false">IF(A35&lt;&gt;"", H35*D35, "")</f>
        <v>2</v>
      </c>
    </row>
    <row r="36" customFormat="false" ht="12.8" hidden="false" customHeight="false" outlineLevel="0" collapsed="false">
      <c r="A36" s="43" t="s">
        <v>17</v>
      </c>
      <c r="B36" s="2" t="s">
        <v>1984</v>
      </c>
      <c r="C36" s="2" t="s">
        <v>1993</v>
      </c>
      <c r="D36" s="2" t="n">
        <v>1</v>
      </c>
      <c r="E36" s="1" t="str">
        <f aca="false">IF(A36&lt;&gt;"", INDEX(components!$D$1:$D$1000, MATCH(A36, components!$C$1:$C$1000, 0)), "")</f>
        <v>Bolt ISO 4762 M3x5</v>
      </c>
      <c r="F36" s="33" t="n">
        <f aca="false">IF(A36&lt;&gt;"", INDEX(components!$N$1:$N$1000, MATCH(A36, components!$C$1:$C$1000, 0)), "")</f>
        <v>0.1</v>
      </c>
      <c r="G36" s="33" t="n">
        <f aca="false">IF(A36&lt;&gt;"", F36*D36, "")</f>
        <v>0.1</v>
      </c>
      <c r="H36" s="41" t="n">
        <f aca="false">IF(A36&lt;&gt;"", values!$C$2, "")</f>
        <v>2</v>
      </c>
      <c r="I36" s="41" t="n">
        <f aca="false">IF(A36&lt;&gt;"", H36*D36, "")</f>
        <v>2</v>
      </c>
    </row>
    <row r="37" customFormat="false" ht="12.8" hidden="false" customHeight="false" outlineLevel="0" collapsed="false">
      <c r="A37" s="43" t="s">
        <v>17</v>
      </c>
      <c r="B37" s="2" t="s">
        <v>1985</v>
      </c>
      <c r="C37" s="2" t="s">
        <v>1993</v>
      </c>
      <c r="D37" s="2" t="n">
        <v>1</v>
      </c>
      <c r="E37" s="1" t="str">
        <f aca="false">IF(A37&lt;&gt;"", INDEX(components!$D$1:$D$1000, MATCH(A37, components!$C$1:$C$1000, 0)), "")</f>
        <v>Bolt ISO 4762 M3x5</v>
      </c>
      <c r="F37" s="33" t="n">
        <f aca="false">IF(A37&lt;&gt;"", INDEX(components!$N$1:$N$1000, MATCH(A37, components!$C$1:$C$1000, 0)), "")</f>
        <v>0.1</v>
      </c>
      <c r="G37" s="33" t="n">
        <f aca="false">IF(A37&lt;&gt;"", F37*D37, "")</f>
        <v>0.1</v>
      </c>
      <c r="H37" s="41" t="n">
        <f aca="false">IF(A37&lt;&gt;"", values!$C$2, "")</f>
        <v>2</v>
      </c>
      <c r="I37" s="41" t="n">
        <f aca="false">IF(A37&lt;&gt;"", H37*D37, "")</f>
        <v>2</v>
      </c>
    </row>
    <row r="38" customFormat="false" ht="12.8" hidden="false" customHeight="false" outlineLevel="0" collapsed="false">
      <c r="A38" s="43" t="s">
        <v>17</v>
      </c>
      <c r="B38" s="2" t="s">
        <v>1986</v>
      </c>
      <c r="C38" s="2" t="s">
        <v>1993</v>
      </c>
      <c r="D38" s="2" t="n">
        <v>1</v>
      </c>
      <c r="E38" s="1" t="str">
        <f aca="false">IF(A38&lt;&gt;"", INDEX(components!$D$1:$D$1000, MATCH(A38, components!$C$1:$C$1000, 0)), "")</f>
        <v>Bolt ISO 4762 M3x5</v>
      </c>
      <c r="F38" s="33" t="n">
        <f aca="false">IF(A38&lt;&gt;"", INDEX(components!$N$1:$N$1000, MATCH(A38, components!$C$1:$C$1000, 0)), "")</f>
        <v>0.1</v>
      </c>
      <c r="G38" s="33" t="n">
        <f aca="false">IF(A38&lt;&gt;"", F38*D38, "")</f>
        <v>0.1</v>
      </c>
      <c r="H38" s="41" t="n">
        <f aca="false">IF(A38&lt;&gt;"", values!$C$2, "")</f>
        <v>2</v>
      </c>
      <c r="I38" s="41" t="n">
        <f aca="false">IF(A38&lt;&gt;"", H38*D38, "")</f>
        <v>2</v>
      </c>
    </row>
    <row r="39" customFormat="false" ht="12.8" hidden="false" customHeight="false" outlineLevel="0" collapsed="false">
      <c r="A39" s="43" t="s">
        <v>17</v>
      </c>
      <c r="B39" s="2" t="s">
        <v>1987</v>
      </c>
      <c r="C39" s="2" t="s">
        <v>1993</v>
      </c>
      <c r="D39" s="2" t="n">
        <v>1</v>
      </c>
      <c r="E39" s="1" t="str">
        <f aca="false">IF(A39&lt;&gt;"", INDEX(components!$D$1:$D$1000, MATCH(A39, components!$C$1:$C$1000, 0)), "")</f>
        <v>Bolt ISO 4762 M3x5</v>
      </c>
      <c r="F39" s="33" t="n">
        <f aca="false">IF(A39&lt;&gt;"", INDEX(components!$N$1:$N$1000, MATCH(A39, components!$C$1:$C$1000, 0)), "")</f>
        <v>0.1</v>
      </c>
      <c r="G39" s="33" t="n">
        <f aca="false">IF(A39&lt;&gt;"", F39*D39, "")</f>
        <v>0.1</v>
      </c>
      <c r="H39" s="41" t="n">
        <f aca="false">IF(A39&lt;&gt;"", values!$C$2, "")</f>
        <v>2</v>
      </c>
      <c r="I39" s="41" t="n">
        <f aca="false">IF(A39&lt;&gt;"", H39*D39, "")</f>
        <v>2</v>
      </c>
    </row>
    <row r="40" customFormat="false" ht="12.8" hidden="false" customHeight="false" outlineLevel="0" collapsed="false">
      <c r="A40" s="43" t="s">
        <v>17</v>
      </c>
      <c r="B40" s="2" t="s">
        <v>1978</v>
      </c>
      <c r="C40" s="2" t="s">
        <v>1997</v>
      </c>
      <c r="D40" s="2" t="n">
        <v>2</v>
      </c>
      <c r="E40" s="1" t="str">
        <f aca="false">IF(A40&lt;&gt;"", INDEX(components!$D$1:$D$1000, MATCH(A40, components!$C$1:$C$1000, 0)), "")</f>
        <v>Bolt ISO 4762 M3x5</v>
      </c>
      <c r="F40" s="33" t="n">
        <f aca="false">IF(A40&lt;&gt;"", INDEX(components!$N$1:$N$1000, MATCH(A40, components!$C$1:$C$1000, 0)), "")</f>
        <v>0.1</v>
      </c>
      <c r="G40" s="33" t="n">
        <f aca="false">IF(A40&lt;&gt;"", F40*D40, "")</f>
        <v>0.2</v>
      </c>
      <c r="H40" s="41" t="n">
        <f aca="false">IF(A40&lt;&gt;"", values!$C$2, "")</f>
        <v>2</v>
      </c>
      <c r="I40" s="41" t="n">
        <f aca="false">IF(A40&lt;&gt;"", H40*D40, "")</f>
        <v>4</v>
      </c>
    </row>
    <row r="41" customFormat="false" ht="12.8" hidden="false" customHeight="false" outlineLevel="0" collapsed="false">
      <c r="A41" s="43" t="s">
        <v>17</v>
      </c>
      <c r="B41" s="2" t="s">
        <v>1994</v>
      </c>
      <c r="C41" s="2" t="s">
        <v>1997</v>
      </c>
      <c r="D41" s="2" t="n">
        <v>16</v>
      </c>
      <c r="E41" s="1" t="str">
        <f aca="false">IF(A41&lt;&gt;"", INDEX(components!$D$1:$D$1000, MATCH(A41, components!$C$1:$C$1000, 0)), "")</f>
        <v>Bolt ISO 4762 M3x5</v>
      </c>
      <c r="F41" s="33" t="n">
        <f aca="false">IF(A41&lt;&gt;"", INDEX(components!$N$1:$N$1000, MATCH(A41, components!$C$1:$C$1000, 0)), "")</f>
        <v>0.1</v>
      </c>
      <c r="G41" s="33" t="n">
        <f aca="false">IF(A41&lt;&gt;"", F41*D41, "")</f>
        <v>1.6</v>
      </c>
      <c r="H41" s="41" t="n">
        <f aca="false">IF(A41&lt;&gt;"", values!$C$2, "")</f>
        <v>2</v>
      </c>
      <c r="I41" s="41" t="n">
        <f aca="false">IF(A41&lt;&gt;"", H41*D41, "")</f>
        <v>32</v>
      </c>
    </row>
    <row r="42" customFormat="false" ht="12.8" hidden="false" customHeight="false" outlineLevel="0" collapsed="false">
      <c r="A42" s="43" t="s">
        <v>17</v>
      </c>
      <c r="B42" s="2" t="s">
        <v>1980</v>
      </c>
      <c r="C42" s="2" t="s">
        <v>1997</v>
      </c>
      <c r="D42" s="2" t="n">
        <v>4</v>
      </c>
      <c r="E42" s="1" t="str">
        <f aca="false">IF(A42&lt;&gt;"", INDEX(components!$D$1:$D$1000, MATCH(A42, components!$C$1:$C$1000, 0)), "")</f>
        <v>Bolt ISO 4762 M3x5</v>
      </c>
      <c r="F42" s="33" t="n">
        <f aca="false">IF(A42&lt;&gt;"", INDEX(components!$N$1:$N$1000, MATCH(A42, components!$C$1:$C$1000, 0)), "")</f>
        <v>0.1</v>
      </c>
      <c r="G42" s="33" t="n">
        <f aca="false">IF(A42&lt;&gt;"", F42*D42, "")</f>
        <v>0.4</v>
      </c>
      <c r="H42" s="41" t="n">
        <f aca="false">IF(A42&lt;&gt;"", values!$C$2, "")</f>
        <v>2</v>
      </c>
      <c r="I42" s="41" t="n">
        <f aca="false">IF(A42&lt;&gt;"", H42*D42, "")</f>
        <v>8</v>
      </c>
    </row>
    <row r="43" customFormat="false" ht="12.8" hidden="false" customHeight="false" outlineLevel="0" collapsed="false">
      <c r="A43" s="43" t="s">
        <v>17</v>
      </c>
      <c r="B43" s="2" t="s">
        <v>1995</v>
      </c>
      <c r="C43" s="2" t="s">
        <v>1997</v>
      </c>
      <c r="D43" s="2" t="n">
        <v>16</v>
      </c>
      <c r="E43" s="1" t="str">
        <f aca="false">IF(A43&lt;&gt;"", INDEX(components!$D$1:$D$1000, MATCH(A43, components!$C$1:$C$1000, 0)), "")</f>
        <v>Bolt ISO 4762 M3x5</v>
      </c>
      <c r="F43" s="33" t="n">
        <f aca="false">IF(A43&lt;&gt;"", INDEX(components!$N$1:$N$1000, MATCH(A43, components!$C$1:$C$1000, 0)), "")</f>
        <v>0.1</v>
      </c>
      <c r="G43" s="33" t="n">
        <f aca="false">IF(A43&lt;&gt;"", F43*D43, "")</f>
        <v>1.6</v>
      </c>
      <c r="H43" s="41" t="n">
        <f aca="false">IF(A43&lt;&gt;"", values!$C$2, "")</f>
        <v>2</v>
      </c>
      <c r="I43" s="41" t="n">
        <f aca="false">IF(A43&lt;&gt;"", H43*D43, "")</f>
        <v>32</v>
      </c>
    </row>
    <row r="44" customFormat="false" ht="12.8" hidden="false" customHeight="false" outlineLevel="0" collapsed="false">
      <c r="A44" s="43" t="s">
        <v>17</v>
      </c>
      <c r="B44" s="2" t="s">
        <v>1996</v>
      </c>
      <c r="C44" s="2" t="s">
        <v>1997</v>
      </c>
      <c r="D44" s="2" t="n">
        <v>1</v>
      </c>
      <c r="E44" s="1" t="str">
        <f aca="false">IF(A44&lt;&gt;"", INDEX(components!$D$1:$D$1000, MATCH(A44, components!$C$1:$C$1000, 0)), "")</f>
        <v>Bolt ISO 4762 M3x5</v>
      </c>
      <c r="F44" s="33" t="n">
        <f aca="false">IF(A44&lt;&gt;"", INDEX(components!$N$1:$N$1000, MATCH(A44, components!$C$1:$C$1000, 0)), "")</f>
        <v>0.1</v>
      </c>
      <c r="G44" s="33" t="n">
        <f aca="false">IF(A44&lt;&gt;"", F44*D44, "")</f>
        <v>0.1</v>
      </c>
      <c r="H44" s="41" t="n">
        <f aca="false">IF(A44&lt;&gt;"", values!$C$2, "")</f>
        <v>2</v>
      </c>
      <c r="I44" s="41" t="n">
        <f aca="false">IF(A44&lt;&gt;"", H44*D44, "")</f>
        <v>2</v>
      </c>
    </row>
    <row r="45" customFormat="false" ht="12.8" hidden="false" customHeight="false" outlineLevel="0" collapsed="false">
      <c r="A45" s="43" t="s">
        <v>17</v>
      </c>
      <c r="B45" s="2" t="s">
        <v>1982</v>
      </c>
      <c r="C45" s="2" t="s">
        <v>1997</v>
      </c>
      <c r="D45" s="2" t="n">
        <v>1</v>
      </c>
      <c r="E45" s="1" t="str">
        <f aca="false">IF(A45&lt;&gt;"", INDEX(components!$D$1:$D$1000, MATCH(A45, components!$C$1:$C$1000, 0)), "")</f>
        <v>Bolt ISO 4762 M3x5</v>
      </c>
      <c r="F45" s="33" t="n">
        <f aca="false">IF(A45&lt;&gt;"", INDEX(components!$N$1:$N$1000, MATCH(A45, components!$C$1:$C$1000, 0)), "")</f>
        <v>0.1</v>
      </c>
      <c r="G45" s="33" t="n">
        <f aca="false">IF(A45&lt;&gt;"", F45*D45, "")</f>
        <v>0.1</v>
      </c>
      <c r="H45" s="41" t="n">
        <f aca="false">IF(A45&lt;&gt;"", values!$C$2, "")</f>
        <v>2</v>
      </c>
      <c r="I45" s="41" t="n">
        <f aca="false">IF(A45&lt;&gt;"", H45*D45, "")</f>
        <v>2</v>
      </c>
    </row>
    <row r="46" customFormat="false" ht="12.8" hidden="false" customHeight="false" outlineLevel="0" collapsed="false">
      <c r="A46" s="43" t="s">
        <v>17</v>
      </c>
      <c r="B46" s="2" t="s">
        <v>1983</v>
      </c>
      <c r="C46" s="2" t="s">
        <v>1997</v>
      </c>
      <c r="D46" s="2" t="n">
        <v>1</v>
      </c>
      <c r="E46" s="1" t="str">
        <f aca="false">IF(A46&lt;&gt;"", INDEX(components!$D$1:$D$1000, MATCH(A46, components!$C$1:$C$1000, 0)), "")</f>
        <v>Bolt ISO 4762 M3x5</v>
      </c>
      <c r="F46" s="33" t="n">
        <f aca="false">IF(A46&lt;&gt;"", INDEX(components!$N$1:$N$1000, MATCH(A46, components!$C$1:$C$1000, 0)), "")</f>
        <v>0.1</v>
      </c>
      <c r="G46" s="33" t="n">
        <f aca="false">IF(A46&lt;&gt;"", F46*D46, "")</f>
        <v>0.1</v>
      </c>
      <c r="H46" s="41" t="n">
        <f aca="false">IF(A46&lt;&gt;"", values!$C$2, "")</f>
        <v>2</v>
      </c>
      <c r="I46" s="41" t="n">
        <f aca="false">IF(A46&lt;&gt;"", H46*D46, "")</f>
        <v>2</v>
      </c>
    </row>
    <row r="47" customFormat="false" ht="12.8" hidden="false" customHeight="false" outlineLevel="0" collapsed="false">
      <c r="A47" s="43" t="s">
        <v>17</v>
      </c>
      <c r="B47" s="2" t="s">
        <v>1984</v>
      </c>
      <c r="C47" s="2" t="s">
        <v>1997</v>
      </c>
      <c r="D47" s="2" t="n">
        <v>1</v>
      </c>
      <c r="E47" s="1" t="str">
        <f aca="false">IF(A47&lt;&gt;"", INDEX(components!$D$1:$D$1000, MATCH(A47, components!$C$1:$C$1000, 0)), "")</f>
        <v>Bolt ISO 4762 M3x5</v>
      </c>
      <c r="F47" s="33" t="n">
        <f aca="false">IF(A47&lt;&gt;"", INDEX(components!$N$1:$N$1000, MATCH(A47, components!$C$1:$C$1000, 0)), "")</f>
        <v>0.1</v>
      </c>
      <c r="G47" s="33" t="n">
        <f aca="false">IF(A47&lt;&gt;"", F47*D47, "")</f>
        <v>0.1</v>
      </c>
      <c r="H47" s="41" t="n">
        <f aca="false">IF(A47&lt;&gt;"", values!$C$2, "")</f>
        <v>2</v>
      </c>
      <c r="I47" s="41" t="n">
        <f aca="false">IF(A47&lt;&gt;"", H47*D47, "")</f>
        <v>2</v>
      </c>
    </row>
    <row r="48" customFormat="false" ht="12.8" hidden="false" customHeight="false" outlineLevel="0" collapsed="false">
      <c r="A48" s="43" t="s">
        <v>17</v>
      </c>
      <c r="B48" s="2" t="s">
        <v>1985</v>
      </c>
      <c r="C48" s="2" t="s">
        <v>1997</v>
      </c>
      <c r="D48" s="2" t="n">
        <v>1</v>
      </c>
      <c r="E48" s="1" t="str">
        <f aca="false">IF(A48&lt;&gt;"", INDEX(components!$D$1:$D$1000, MATCH(A48, components!$C$1:$C$1000, 0)), "")</f>
        <v>Bolt ISO 4762 M3x5</v>
      </c>
      <c r="F48" s="33" t="n">
        <f aca="false">IF(A48&lt;&gt;"", INDEX(components!$N$1:$N$1000, MATCH(A48, components!$C$1:$C$1000, 0)), "")</f>
        <v>0.1</v>
      </c>
      <c r="G48" s="33" t="n">
        <f aca="false">IF(A48&lt;&gt;"", F48*D48, "")</f>
        <v>0.1</v>
      </c>
      <c r="H48" s="41" t="n">
        <f aca="false">IF(A48&lt;&gt;"", values!$C$2, "")</f>
        <v>2</v>
      </c>
      <c r="I48" s="41" t="n">
        <f aca="false">IF(A48&lt;&gt;"", H48*D48, "")</f>
        <v>2</v>
      </c>
    </row>
    <row r="49" customFormat="false" ht="12.8" hidden="false" customHeight="false" outlineLevel="0" collapsed="false">
      <c r="A49" s="43" t="s">
        <v>17</v>
      </c>
      <c r="B49" s="2" t="s">
        <v>1986</v>
      </c>
      <c r="C49" s="2" t="s">
        <v>1997</v>
      </c>
      <c r="D49" s="2" t="n">
        <v>1</v>
      </c>
      <c r="E49" s="1" t="str">
        <f aca="false">IF(A49&lt;&gt;"", INDEX(components!$D$1:$D$1000, MATCH(A49, components!$C$1:$C$1000, 0)), "")</f>
        <v>Bolt ISO 4762 M3x5</v>
      </c>
      <c r="F49" s="33" t="n">
        <f aca="false">IF(A49&lt;&gt;"", INDEX(components!$N$1:$N$1000, MATCH(A49, components!$C$1:$C$1000, 0)), "")</f>
        <v>0.1</v>
      </c>
      <c r="G49" s="33" t="n">
        <f aca="false">IF(A49&lt;&gt;"", F49*D49, "")</f>
        <v>0.1</v>
      </c>
      <c r="H49" s="41" t="n">
        <f aca="false">IF(A49&lt;&gt;"", values!$C$2, "")</f>
        <v>2</v>
      </c>
      <c r="I49" s="41" t="n">
        <f aca="false">IF(A49&lt;&gt;"", H49*D49, "")</f>
        <v>2</v>
      </c>
    </row>
    <row r="50" customFormat="false" ht="12.8" hidden="false" customHeight="false" outlineLevel="0" collapsed="false">
      <c r="A50" s="43" t="s">
        <v>17</v>
      </c>
      <c r="B50" s="2" t="s">
        <v>1987</v>
      </c>
      <c r="C50" s="2" t="s">
        <v>1997</v>
      </c>
      <c r="D50" s="2" t="n">
        <v>1</v>
      </c>
      <c r="E50" s="1" t="str">
        <f aca="false">IF(A50&lt;&gt;"", INDEX(components!$D$1:$D$1000, MATCH(A50, components!$C$1:$C$1000, 0)), "")</f>
        <v>Bolt ISO 4762 M3x5</v>
      </c>
      <c r="F50" s="33" t="n">
        <f aca="false">IF(A50&lt;&gt;"", INDEX(components!$N$1:$N$1000, MATCH(A50, components!$C$1:$C$1000, 0)), "")</f>
        <v>0.1</v>
      </c>
      <c r="G50" s="33" t="n">
        <f aca="false">IF(A50&lt;&gt;"", F50*D50, "")</f>
        <v>0.1</v>
      </c>
      <c r="H50" s="41" t="n">
        <f aca="false">IF(A50&lt;&gt;"", values!$C$2, "")</f>
        <v>2</v>
      </c>
      <c r="I50" s="41" t="n">
        <f aca="false">IF(A50&lt;&gt;"", H50*D50, "")</f>
        <v>2</v>
      </c>
    </row>
    <row r="51" customFormat="false" ht="12.8" hidden="false" customHeight="false" outlineLevel="0" collapsed="false">
      <c r="A51" s="43" t="s">
        <v>17</v>
      </c>
      <c r="B51" s="2" t="s">
        <v>1998</v>
      </c>
      <c r="C51" s="2" t="s">
        <v>1998</v>
      </c>
      <c r="D51" s="2" t="n">
        <v>1</v>
      </c>
      <c r="E51" s="1" t="str">
        <f aca="false">IF(A51&lt;&gt;"", INDEX(components!$D$1:$D$1000, MATCH(A51, components!$C$1:$C$1000, 0)), "")</f>
        <v>Bolt ISO 4762 M3x5</v>
      </c>
      <c r="F51" s="33" t="n">
        <f aca="false">IF(A51&lt;&gt;"", INDEX(components!$N$1:$N$1000, MATCH(A51, components!$C$1:$C$1000, 0)), "")</f>
        <v>0.1</v>
      </c>
      <c r="G51" s="33" t="n">
        <f aca="false">IF(A51&lt;&gt;"", F51*D51, "")</f>
        <v>0.1</v>
      </c>
      <c r="H51" s="41" t="n">
        <f aca="false">IF(A51&lt;&gt;"", values!$C$2, "")</f>
        <v>2</v>
      </c>
      <c r="I51" s="41" t="n">
        <f aca="false">IF(A51&lt;&gt;"", H51*D51, "")</f>
        <v>2</v>
      </c>
    </row>
  </sheetData>
  <autoFilter ref="A1:I51"/>
  <dataValidations count="2">
    <dataValidation allowBlank="true" errorStyle="stop" operator="equal" showDropDown="false" showErrorMessage="true" showInputMessage="false" sqref="A2:A51" type="list">
      <formula1>components!$C$2:$C$9999</formula1>
      <formula2>0</formula2>
    </dataValidation>
    <dataValidation allowBlank="true" errorStyle="stop" operator="equal" showDropDown="false" showErrorMessage="true" showInputMessage="false" sqref="E1:E105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2025-10-06T14:13:06Z</dcterms:created>
  <dc:creator/>
  <dc:description/>
  <dc:language>de-DE</dc:language>
  <cp:lastModifiedBy/>
  <cp:lastPrinted>2025-11-08T16:13:17Z</cp:lastPrinted>
  <dcterms:modified xsi:type="dcterms:W3CDTF">2025-11-08T16:15:53Z</dcterms:modified>
  <cp:revision>188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